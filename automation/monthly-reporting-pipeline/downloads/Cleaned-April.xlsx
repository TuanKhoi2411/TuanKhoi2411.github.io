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y to EUR" sheetId="1" state="visible" r:id="rId1"/>
    <sheet xmlns:r="http://schemas.openxmlformats.org/officeDocument/2006/relationships" name="Cleaned April" sheetId="2" state="visible" r:id="rId2"/>
  </sheets>
  <definedNames>
    <definedName name="_xlnm._FilterDatabase" localSheetId="0" hidden="1">'Currency to EUR'!$A$1:$E$9</definedName>
    <definedName name="_xlnm._FilterDatabase" localSheetId="1" hidden="1">'Cleaned April'!$A$1:$AB$137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000000"/>
    <numFmt numFmtId="165" formatCode="#,##0.000000"/>
    <numFmt numFmtId="166" formatCode="yyyy-mm-dd h:mm:ss"/>
    <numFmt numFmtId="167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BF9000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164" fontId="2" fillId="3" borderId="2" applyAlignment="1" pivotButton="0" quotePrefix="0" xfId="0">
      <alignment horizontal="center" vertical="top" wrapText="1"/>
    </xf>
    <xf numFmtId="4" fontId="2" fillId="3" borderId="2" applyAlignment="1" pivotButton="0" quotePrefix="0" xfId="0">
      <alignment horizontal="center" vertical="top" wrapText="1"/>
    </xf>
    <xf numFmtId="165" fontId="2" fillId="3" borderId="2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5" fontId="2" fillId="3" borderId="2" applyAlignment="1" pivotButton="0" quotePrefix="0" xfId="0">
      <alignment horizontal="center" vertical="top" wrapText="1"/>
    </xf>
    <xf numFmtId="167" fontId="2" fillId="3" borderId="2" applyAlignment="1" pivotButton="0" quotePrefix="0" xfId="0">
      <alignment horizontal="center" vertical="top" wrapText="1"/>
    </xf>
    <xf numFmtId="10" fontId="2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 to EUR</t>
        </is>
      </c>
      <c r="C1" s="1" t="inlineStr">
        <is>
          <t>Example amount</t>
        </is>
      </c>
      <c r="D1" s="1" t="inlineStr">
        <is>
          <t>Converted EUR</t>
        </is>
      </c>
      <c r="E1" s="1" t="inlineStr">
        <is>
          <t>Formula used</t>
        </is>
      </c>
    </row>
    <row r="2">
      <c r="A2" s="2" t="inlineStr">
        <is>
          <t>CAD</t>
        </is>
      </c>
      <c r="B2" s="3" t="n">
        <v>0.68</v>
      </c>
      <c r="C2" s="4" t="n">
        <v>1</v>
      </c>
      <c r="D2" s="5">
        <f>C2*B2</f>
        <v/>
      </c>
      <c r="E2" s="2" t="inlineStr">
        <is>
          <t>'=Source amount * Rate to EUR</t>
        </is>
      </c>
    </row>
    <row r="3">
      <c r="A3" s="2" t="inlineStr">
        <is>
          <t>CNY</t>
        </is>
      </c>
      <c r="B3" s="3" t="n">
        <v>0.128</v>
      </c>
      <c r="C3" s="4" t="n">
        <v>1</v>
      </c>
      <c r="D3" s="5">
        <f>C3*B3</f>
        <v/>
      </c>
      <c r="E3" s="2" t="inlineStr">
        <is>
          <t>'=Source amount * Rate to EUR</t>
        </is>
      </c>
    </row>
    <row r="4">
      <c r="A4" s="2" t="inlineStr">
        <is>
          <t>EUR</t>
        </is>
      </c>
      <c r="B4" s="3" t="n">
        <v>1</v>
      </c>
      <c r="C4" s="4" t="n">
        <v>1</v>
      </c>
      <c r="D4" s="5">
        <f>C4*B4</f>
        <v/>
      </c>
      <c r="E4" s="2" t="inlineStr">
        <is>
          <t>'=Source amount * Rate to EUR</t>
        </is>
      </c>
    </row>
    <row r="5">
      <c r="A5" s="2" t="inlineStr">
        <is>
          <t>JPY</t>
        </is>
      </c>
      <c r="B5" s="3" t="n">
        <v>0.0062</v>
      </c>
      <c r="C5" s="4" t="n">
        <v>1</v>
      </c>
      <c r="D5" s="5">
        <f>C5*B5</f>
        <v/>
      </c>
      <c r="E5" s="2" t="inlineStr">
        <is>
          <t>'=Source amount * Rate to EUR</t>
        </is>
      </c>
    </row>
    <row r="6">
      <c r="A6" s="2" t="inlineStr">
        <is>
          <t>SGD</t>
        </is>
      </c>
      <c r="B6" s="3" t="n">
        <v>0.68</v>
      </c>
      <c r="C6" s="4" t="n">
        <v>1</v>
      </c>
      <c r="D6" s="5">
        <f>C6*B6</f>
        <v/>
      </c>
      <c r="E6" s="2" t="inlineStr">
        <is>
          <t>'=Source amount * Rate to EUR</t>
        </is>
      </c>
    </row>
    <row r="7">
      <c r="A7" s="2" t="inlineStr">
        <is>
          <t>THB</t>
        </is>
      </c>
      <c r="B7" s="3" t="n">
        <v>0.0255</v>
      </c>
      <c r="C7" s="4" t="n">
        <v>1</v>
      </c>
      <c r="D7" s="5">
        <f>C7*B7</f>
        <v/>
      </c>
      <c r="E7" s="2" t="inlineStr">
        <is>
          <t>'=Source amount * Rate to EUR</t>
        </is>
      </c>
    </row>
    <row r="8">
      <c r="A8" s="2" t="inlineStr">
        <is>
          <t>USD</t>
        </is>
      </c>
      <c r="B8" s="3" t="n">
        <v>0.92</v>
      </c>
      <c r="C8" s="4" t="n">
        <v>1</v>
      </c>
      <c r="D8" s="5">
        <f>C8*B8</f>
        <v/>
      </c>
      <c r="E8" s="2" t="inlineStr">
        <is>
          <t>'=Source amount * Rate to EUR</t>
        </is>
      </c>
    </row>
    <row r="9">
      <c r="A9" s="2" t="inlineStr">
        <is>
          <t>VND</t>
        </is>
      </c>
      <c r="B9" s="3" t="n">
        <v>3.65e-05</v>
      </c>
      <c r="C9" s="4" t="n">
        <v>1</v>
      </c>
      <c r="D9" s="5">
        <f>C9*B9</f>
        <v/>
      </c>
      <c r="E9" s="2" t="inlineStr">
        <is>
          <t>'=Source amount * Rate to EUR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  <col width="18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18" customWidth="1" min="25" max="25"/>
    <col width="20" customWidth="1" min="26" max="26"/>
    <col width="18" customWidth="1" min="27" max="27"/>
    <col width="16" customWidth="1" min="28" max="28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Function</t>
        </is>
      </c>
      <c r="D1" s="1" t="inlineStr">
        <is>
          <t>UserStatus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CommissionStartDate</t>
        </is>
      </c>
      <c r="H1" s="1" t="inlineStr">
        <is>
          <t>CommissionEndDate</t>
        </is>
      </c>
      <c r="I1" s="1" t="inlineStr">
        <is>
          <t>YtdDue</t>
        </is>
      </c>
      <c r="J1" s="1" t="inlineStr">
        <is>
          <t>YtdPayment</t>
        </is>
      </c>
      <c r="K1" s="1" t="inlineStr">
        <is>
          <t>RemainingBalance</t>
        </is>
      </c>
      <c r="L1" s="1" t="inlineStr">
        <is>
          <t>Yearly Target</t>
        </is>
      </c>
      <c r="M1" s="1" t="inlineStr">
        <is>
          <t>Ytd Yearly Target</t>
        </is>
      </c>
      <c r="N1" s="1" t="inlineStr">
        <is>
          <t>Revenue</t>
        </is>
      </c>
      <c r="O1" s="1" t="inlineStr">
        <is>
          <t>GM</t>
        </is>
      </c>
      <c r="P1" s="1" t="inlineStr">
        <is>
          <t>Manager Cost</t>
        </is>
      </c>
      <c r="Q1" s="1" t="inlineStr">
        <is>
          <t>CM</t>
        </is>
      </c>
      <c r="R1" s="6" t="inlineStr">
        <is>
          <t>FX Rate to EUR</t>
        </is>
      </c>
      <c r="S1" s="7" t="inlineStr">
        <is>
          <t>YtdDue EUR</t>
        </is>
      </c>
      <c r="T1" s="7" t="inlineStr">
        <is>
          <t>YtdPayment EUR</t>
        </is>
      </c>
      <c r="U1" s="7" t="inlineStr">
        <is>
          <t>RemainingBalance EUR</t>
        </is>
      </c>
      <c r="V1" s="7" t="inlineStr">
        <is>
          <t>Yearly Target EUR</t>
        </is>
      </c>
      <c r="W1" s="7" t="inlineStr">
        <is>
          <t>Ytd Target EUR</t>
        </is>
      </c>
      <c r="X1" s="7" t="inlineStr">
        <is>
          <t>Revenue EUR</t>
        </is>
      </c>
      <c r="Y1" s="7" t="inlineStr">
        <is>
          <t>GM EUR</t>
        </is>
      </c>
      <c r="Z1" s="7" t="inlineStr">
        <is>
          <t>Manager Cost EUR</t>
        </is>
      </c>
      <c r="AA1" s="7" t="inlineStr">
        <is>
          <t>CM EUR</t>
        </is>
      </c>
      <c r="AB1" s="7" t="inlineStr">
        <is>
          <t>Due/Target</t>
        </is>
      </c>
    </row>
    <row r="2">
      <c r="A2" s="2" t="n">
        <v>60001</v>
      </c>
      <c r="B2" s="2" t="inlineStr">
        <is>
          <t>NGUYEN An</t>
        </is>
      </c>
      <c r="C2" s="2" t="inlineStr">
        <is>
          <t>Manager</t>
        </is>
      </c>
      <c r="D2" s="2" t="inlineStr">
        <is>
          <t>In</t>
        </is>
      </c>
      <c r="E2" s="2" t="inlineStr">
        <is>
          <t>Vietnam</t>
        </is>
      </c>
      <c r="F2" s="2" t="inlineStr">
        <is>
          <t>VND</t>
        </is>
      </c>
      <c r="G2" s="8" t="n">
        <v>46023</v>
      </c>
      <c r="H2" s="8" t="n">
        <v>46387</v>
      </c>
      <c r="I2" s="9" t="n">
        <v>34782059.84</v>
      </c>
      <c r="J2" s="9" t="n">
        <v>35825521.64</v>
      </c>
      <c r="K2" s="9" t="n">
        <v>-1043461.8</v>
      </c>
      <c r="L2" s="9" t="n">
        <v>120685645.7</v>
      </c>
      <c r="M2" s="9" t="n">
        <v>40228548.57</v>
      </c>
      <c r="N2" s="9" t="n">
        <v>508415333.4</v>
      </c>
      <c r="O2" s="9" t="n">
        <v>79865262.91</v>
      </c>
      <c r="P2" s="9" t="n">
        <v>485271.2</v>
      </c>
      <c r="Q2" s="9">
        <f>O2-P2</f>
        <v/>
      </c>
      <c r="R2" s="3">
        <f>IFERROR(VLOOKUP(F2,'Currency to EUR'!$A$2:$B$9,2,FALSE),NA())</f>
        <v/>
      </c>
      <c r="S2" s="9">
        <f>I2*R2</f>
        <v/>
      </c>
      <c r="T2" s="9">
        <f>J2*R2</f>
        <v/>
      </c>
      <c r="U2" s="9">
        <f>K2*R2</f>
        <v/>
      </c>
      <c r="V2" s="9">
        <f>L2*R2</f>
        <v/>
      </c>
      <c r="W2" s="9">
        <f>M2*R2</f>
        <v/>
      </c>
      <c r="X2" s="9">
        <f>N2*R2</f>
        <v/>
      </c>
      <c r="Y2" s="9">
        <f>O2*R2</f>
        <v/>
      </c>
      <c r="Z2" s="9">
        <f>P2*R2</f>
        <v/>
      </c>
      <c r="AA2" s="9">
        <f>Y2-Z2</f>
        <v/>
      </c>
      <c r="AB2" s="10">
        <f>IFERROR(S2/W2,0)</f>
        <v/>
      </c>
    </row>
    <row r="3">
      <c r="A3" s="2" t="n">
        <v>60002</v>
      </c>
      <c r="B3" s="2" t="inlineStr">
        <is>
          <t>TRAN Linh</t>
        </is>
      </c>
      <c r="C3" s="2" t="inlineStr">
        <is>
          <t>Manager</t>
        </is>
      </c>
      <c r="D3" s="2" t="inlineStr">
        <is>
          <t>In</t>
        </is>
      </c>
      <c r="E3" s="2" t="inlineStr">
        <is>
          <t>Vietnam</t>
        </is>
      </c>
      <c r="F3" s="2" t="inlineStr">
        <is>
          <t>VND</t>
        </is>
      </c>
      <c r="G3" s="8" t="n">
        <v>46023</v>
      </c>
      <c r="H3" s="8" t="n">
        <v>46387</v>
      </c>
      <c r="I3" s="9" t="n">
        <v>32150645.62</v>
      </c>
      <c r="J3" s="9" t="n">
        <v>33115164.99</v>
      </c>
      <c r="K3" s="9" t="n">
        <v>-964519.37</v>
      </c>
      <c r="L3" s="9" t="n">
        <v>121359302.81</v>
      </c>
      <c r="M3" s="9" t="n">
        <v>40453100.94</v>
      </c>
      <c r="N3" s="9" t="n">
        <v>1346528398.45</v>
      </c>
      <c r="O3" s="9" t="n">
        <v>210526557.35</v>
      </c>
      <c r="P3" s="9" t="n">
        <v>2977535.42</v>
      </c>
      <c r="Q3" s="9">
        <f>O3-P3</f>
        <v/>
      </c>
      <c r="R3" s="3">
        <f>IFERROR(VLOOKUP(F3,'Currency to EUR'!$A$2:$B$9,2,FALSE),NA())</f>
        <v/>
      </c>
      <c r="S3" s="9">
        <f>I3*R3</f>
        <v/>
      </c>
      <c r="T3" s="9">
        <f>J3*R3</f>
        <v/>
      </c>
      <c r="U3" s="9">
        <f>K3*R3</f>
        <v/>
      </c>
      <c r="V3" s="9">
        <f>L3*R3</f>
        <v/>
      </c>
      <c r="W3" s="9">
        <f>M3*R3</f>
        <v/>
      </c>
      <c r="X3" s="9">
        <f>N3*R3</f>
        <v/>
      </c>
      <c r="Y3" s="9">
        <f>O3*R3</f>
        <v/>
      </c>
      <c r="Z3" s="9">
        <f>P3*R3</f>
        <v/>
      </c>
      <c r="AA3" s="9">
        <f>Y3-Z3</f>
        <v/>
      </c>
      <c r="AB3" s="10">
        <f>IFERROR(S3/W3,0)</f>
        <v/>
      </c>
    </row>
    <row r="4">
      <c r="A4" s="2" t="n">
        <v>60003</v>
      </c>
      <c r="B4" s="2" t="inlineStr">
        <is>
          <t>LE Minh</t>
        </is>
      </c>
      <c r="C4" s="2" t="inlineStr">
        <is>
          <t>Manager</t>
        </is>
      </c>
      <c r="D4" s="2" t="inlineStr">
        <is>
          <t>In</t>
        </is>
      </c>
      <c r="E4" s="2" t="inlineStr">
        <is>
          <t>Vietnam</t>
        </is>
      </c>
      <c r="F4" s="2" t="inlineStr">
        <is>
          <t>VND</t>
        </is>
      </c>
      <c r="G4" s="8" t="n">
        <v>46023</v>
      </c>
      <c r="H4" s="8" t="n">
        <v>46387</v>
      </c>
      <c r="I4" s="9" t="n">
        <v>34034552.83</v>
      </c>
      <c r="J4" s="9" t="n">
        <v>29872680.15</v>
      </c>
      <c r="K4" s="9" t="n">
        <v>4161872.68</v>
      </c>
      <c r="L4" s="9" t="n">
        <v>123823779.98</v>
      </c>
      <c r="M4" s="9" t="n">
        <v>41274593.33</v>
      </c>
      <c r="N4" s="9" t="n">
        <v>1605156294.56</v>
      </c>
      <c r="O4" s="9" t="n">
        <v>259570683.28</v>
      </c>
      <c r="P4" s="9" t="n">
        <v>67989821.40000001</v>
      </c>
      <c r="Q4" s="9">
        <f>O4-P4</f>
        <v/>
      </c>
      <c r="R4" s="3">
        <f>IFERROR(VLOOKUP(F4,'Currency to EUR'!$A$2:$B$9,2,FALSE),NA())</f>
        <v/>
      </c>
      <c r="S4" s="9">
        <f>I4*R4</f>
        <v/>
      </c>
      <c r="T4" s="9">
        <f>J4*R4</f>
        <v/>
      </c>
      <c r="U4" s="9">
        <f>K4*R4</f>
        <v/>
      </c>
      <c r="V4" s="9">
        <f>L4*R4</f>
        <v/>
      </c>
      <c r="W4" s="9">
        <f>M4*R4</f>
        <v/>
      </c>
      <c r="X4" s="9">
        <f>N4*R4</f>
        <v/>
      </c>
      <c r="Y4" s="9">
        <f>O4*R4</f>
        <v/>
      </c>
      <c r="Z4" s="9">
        <f>P4*R4</f>
        <v/>
      </c>
      <c r="AA4" s="9">
        <f>Y4-Z4</f>
        <v/>
      </c>
      <c r="AB4" s="10">
        <f>IFERROR(S4/W4,0)</f>
        <v/>
      </c>
    </row>
    <row r="5">
      <c r="A5" s="2" t="n">
        <v>60104</v>
      </c>
      <c r="B5" s="2" t="inlineStr">
        <is>
          <t>PHAM Quang</t>
        </is>
      </c>
      <c r="C5" s="2" t="inlineStr">
        <is>
          <t>Manager</t>
        </is>
      </c>
      <c r="D5" s="2" t="inlineStr">
        <is>
          <t>In</t>
        </is>
      </c>
      <c r="E5" s="2" t="inlineStr">
        <is>
          <t>Vietnam</t>
        </is>
      </c>
      <c r="F5" s="2" t="inlineStr">
        <is>
          <t>VND</t>
        </is>
      </c>
      <c r="G5" s="8" t="n">
        <v>46023</v>
      </c>
      <c r="H5" s="8" t="n">
        <v>46387</v>
      </c>
      <c r="I5" s="9" t="n">
        <v>34631213.46</v>
      </c>
      <c r="J5" s="9" t="n">
        <v>35670149.86</v>
      </c>
      <c r="K5" s="9" t="n">
        <v>-1038936.41</v>
      </c>
      <c r="L5" s="9" t="n">
        <v>116121066.26</v>
      </c>
      <c r="M5" s="9" t="n">
        <v>38707022.09</v>
      </c>
      <c r="N5" s="9" t="n">
        <v>546682980.5799999</v>
      </c>
      <c r="O5" s="9" t="n">
        <v>85876599.56</v>
      </c>
      <c r="P5" s="9" t="n">
        <v>6743837.48</v>
      </c>
      <c r="Q5" s="9">
        <f>O5-P5</f>
        <v/>
      </c>
      <c r="R5" s="3">
        <f>IFERROR(VLOOKUP(F5,'Currency to EUR'!$A$2:$B$9,2,FALSE),NA())</f>
        <v/>
      </c>
      <c r="S5" s="9">
        <f>I5*R5</f>
        <v/>
      </c>
      <c r="T5" s="9">
        <f>J5*R5</f>
        <v/>
      </c>
      <c r="U5" s="9">
        <f>K5*R5</f>
        <v/>
      </c>
      <c r="V5" s="9">
        <f>L5*R5</f>
        <v/>
      </c>
      <c r="W5" s="9">
        <f>M5*R5</f>
        <v/>
      </c>
      <c r="X5" s="9">
        <f>N5*R5</f>
        <v/>
      </c>
      <c r="Y5" s="9">
        <f>O5*R5</f>
        <v/>
      </c>
      <c r="Z5" s="9">
        <f>P5*R5</f>
        <v/>
      </c>
      <c r="AA5" s="9">
        <f>Y5-Z5</f>
        <v/>
      </c>
      <c r="AB5" s="10">
        <f>IFERROR(S5/W5,0)</f>
        <v/>
      </c>
    </row>
    <row r="6">
      <c r="A6" s="2" t="n">
        <v>60105</v>
      </c>
      <c r="B6" s="2" t="inlineStr">
        <is>
          <t>HOANG Mai</t>
        </is>
      </c>
      <c r="C6" s="2" t="inlineStr">
        <is>
          <t>Manager</t>
        </is>
      </c>
      <c r="D6" s="2" t="inlineStr">
        <is>
          <t>In</t>
        </is>
      </c>
      <c r="E6" s="2" t="inlineStr">
        <is>
          <t>Vietnam</t>
        </is>
      </c>
      <c r="F6" s="2" t="inlineStr">
        <is>
          <t>VND</t>
        </is>
      </c>
      <c r="G6" s="8" t="n">
        <v>46023</v>
      </c>
      <c r="H6" s="8" t="n">
        <v>46387</v>
      </c>
      <c r="I6" s="9" t="n">
        <v>33521413.78</v>
      </c>
      <c r="J6" s="9" t="n">
        <v>34527056.2</v>
      </c>
      <c r="K6" s="9" t="n">
        <v>-1005642.42</v>
      </c>
      <c r="L6" s="9" t="n">
        <v>114763941.89</v>
      </c>
      <c r="M6" s="9" t="n">
        <v>38254647.3</v>
      </c>
      <c r="N6" s="9" t="n">
        <v>1258668278.23</v>
      </c>
      <c r="O6" s="9" t="n">
        <v>196789833.7</v>
      </c>
      <c r="P6" s="9" t="n">
        <v>2447040.8</v>
      </c>
      <c r="Q6" s="9">
        <f>O6-P6</f>
        <v/>
      </c>
      <c r="R6" s="3">
        <f>IFERROR(VLOOKUP(F6,'Currency to EUR'!$A$2:$B$9,2,FALSE),NA())</f>
        <v/>
      </c>
      <c r="S6" s="9">
        <f>I6*R6</f>
        <v/>
      </c>
      <c r="T6" s="9">
        <f>J6*R6</f>
        <v/>
      </c>
      <c r="U6" s="9">
        <f>K6*R6</f>
        <v/>
      </c>
      <c r="V6" s="9">
        <f>L6*R6</f>
        <v/>
      </c>
      <c r="W6" s="9">
        <f>M6*R6</f>
        <v/>
      </c>
      <c r="X6" s="9">
        <f>N6*R6</f>
        <v/>
      </c>
      <c r="Y6" s="9">
        <f>O6*R6</f>
        <v/>
      </c>
      <c r="Z6" s="9">
        <f>P6*R6</f>
        <v/>
      </c>
      <c r="AA6" s="9">
        <f>Y6-Z6</f>
        <v/>
      </c>
      <c r="AB6" s="10">
        <f>IFERROR(S6/W6,0)</f>
        <v/>
      </c>
    </row>
    <row r="7">
      <c r="A7" s="2" t="n">
        <v>60106</v>
      </c>
      <c r="B7" s="2" t="inlineStr">
        <is>
          <t>BUI Thanh</t>
        </is>
      </c>
      <c r="C7" s="2" t="inlineStr">
        <is>
          <t>Manager</t>
        </is>
      </c>
      <c r="D7" s="2" t="inlineStr">
        <is>
          <t>In</t>
        </is>
      </c>
      <c r="E7" s="2" t="inlineStr">
        <is>
          <t>Vietnam</t>
        </is>
      </c>
      <c r="F7" s="2" t="inlineStr">
        <is>
          <t>VND</t>
        </is>
      </c>
      <c r="G7" s="8" t="n">
        <v>46023</v>
      </c>
      <c r="H7" s="8" t="n">
        <v>46387</v>
      </c>
      <c r="I7" s="9" t="n">
        <v>35579186.55</v>
      </c>
      <c r="J7" s="9" t="n">
        <v>36646562.14</v>
      </c>
      <c r="K7" s="9" t="n">
        <v>-1067375.6</v>
      </c>
      <c r="L7" s="9" t="n">
        <v>117510387.88</v>
      </c>
      <c r="M7" s="9" t="n">
        <v>39170129.29</v>
      </c>
      <c r="N7" s="9" t="n">
        <v>1763809034.68</v>
      </c>
      <c r="O7" s="9" t="n">
        <v>285226502.79</v>
      </c>
      <c r="P7" s="9" t="n">
        <v>75430160.22</v>
      </c>
      <c r="Q7" s="9">
        <f>O7-P7</f>
        <v/>
      </c>
      <c r="R7" s="3">
        <f>IFERROR(VLOOKUP(F7,'Currency to EUR'!$A$2:$B$9,2,FALSE),NA())</f>
        <v/>
      </c>
      <c r="S7" s="9">
        <f>I7*R7</f>
        <v/>
      </c>
      <c r="T7" s="9">
        <f>J7*R7</f>
        <v/>
      </c>
      <c r="U7" s="9">
        <f>K7*R7</f>
        <v/>
      </c>
      <c r="V7" s="9">
        <f>L7*R7</f>
        <v/>
      </c>
      <c r="W7" s="9">
        <f>M7*R7</f>
        <v/>
      </c>
      <c r="X7" s="9">
        <f>N7*R7</f>
        <v/>
      </c>
      <c r="Y7" s="9">
        <f>O7*R7</f>
        <v/>
      </c>
      <c r="Z7" s="9">
        <f>P7*R7</f>
        <v/>
      </c>
      <c r="AA7" s="9">
        <f>Y7-Z7</f>
        <v/>
      </c>
      <c r="AB7" s="10">
        <f>IFERROR(S7/W7,0)</f>
        <v/>
      </c>
    </row>
    <row r="8">
      <c r="A8" s="2" t="n">
        <v>60107</v>
      </c>
      <c r="B8" s="2" t="inlineStr">
        <is>
          <t>DOAN Huy</t>
        </is>
      </c>
      <c r="C8" s="2" t="inlineStr">
        <is>
          <t>Manager</t>
        </is>
      </c>
      <c r="D8" s="2" t="inlineStr">
        <is>
          <t>In</t>
        </is>
      </c>
      <c r="E8" s="2" t="inlineStr">
        <is>
          <t>Vietnam</t>
        </is>
      </c>
      <c r="F8" s="2" t="inlineStr">
        <is>
          <t>VND</t>
        </is>
      </c>
      <c r="G8" s="8" t="n">
        <v>46023</v>
      </c>
      <c r="H8" s="8" t="n">
        <v>46387</v>
      </c>
      <c r="I8" s="9" t="n">
        <v>32796350.13</v>
      </c>
      <c r="J8" s="9" t="n">
        <v>33780240.63</v>
      </c>
      <c r="K8" s="9" t="n">
        <v>-983890.51</v>
      </c>
      <c r="L8" s="9" t="n">
        <v>118964198.39</v>
      </c>
      <c r="M8" s="9" t="n">
        <v>39654732.8</v>
      </c>
      <c r="N8" s="9" t="n">
        <v>460409258.55</v>
      </c>
      <c r="O8" s="9" t="n">
        <v>72324149.23</v>
      </c>
      <c r="P8" s="9" t="n">
        <v>482264.72</v>
      </c>
      <c r="Q8" s="9">
        <f>O8-P8</f>
        <v/>
      </c>
      <c r="R8" s="3">
        <f>IFERROR(VLOOKUP(F8,'Currency to EUR'!$A$2:$B$9,2,FALSE),NA())</f>
        <v/>
      </c>
      <c r="S8" s="9">
        <f>I8*R8</f>
        <v/>
      </c>
      <c r="T8" s="9">
        <f>J8*R8</f>
        <v/>
      </c>
      <c r="U8" s="9">
        <f>K8*R8</f>
        <v/>
      </c>
      <c r="V8" s="9">
        <f>L8*R8</f>
        <v/>
      </c>
      <c r="W8" s="9">
        <f>M8*R8</f>
        <v/>
      </c>
      <c r="X8" s="9">
        <f>N8*R8</f>
        <v/>
      </c>
      <c r="Y8" s="9">
        <f>O8*R8</f>
        <v/>
      </c>
      <c r="Z8" s="9">
        <f>P8*R8</f>
        <v/>
      </c>
      <c r="AA8" s="9">
        <f>Y8-Z8</f>
        <v/>
      </c>
      <c r="AB8" s="10">
        <f>IFERROR(S8/W8,0)</f>
        <v/>
      </c>
    </row>
    <row r="9">
      <c r="A9" s="2" t="n">
        <v>60108</v>
      </c>
      <c r="B9" s="2" t="inlineStr">
        <is>
          <t>VU Anh</t>
        </is>
      </c>
      <c r="C9" s="2" t="inlineStr">
        <is>
          <t>Manager</t>
        </is>
      </c>
      <c r="D9" s="2" t="inlineStr">
        <is>
          <t>In</t>
        </is>
      </c>
      <c r="E9" s="2" t="inlineStr">
        <is>
          <t>Vietnam</t>
        </is>
      </c>
      <c r="F9" s="2" t="inlineStr">
        <is>
          <t>VND</t>
        </is>
      </c>
      <c r="G9" s="8" t="n">
        <v>46023</v>
      </c>
      <c r="H9" s="8" t="n">
        <v>46387</v>
      </c>
      <c r="I9" s="9" t="n">
        <v>28772925.84</v>
      </c>
      <c r="J9" s="9" t="n">
        <v>29636113.61</v>
      </c>
      <c r="K9" s="9" t="n">
        <v>-863187.78</v>
      </c>
      <c r="L9" s="9" t="n">
        <v>117799954.85</v>
      </c>
      <c r="M9" s="9" t="n">
        <v>39266651.62</v>
      </c>
      <c r="N9" s="9" t="n">
        <v>1231010418.19</v>
      </c>
      <c r="O9" s="9" t="n">
        <v>192465592.06</v>
      </c>
      <c r="P9" s="9" t="n">
        <v>1487478.86</v>
      </c>
      <c r="Q9" s="9">
        <f>O9-P9</f>
        <v/>
      </c>
      <c r="R9" s="3">
        <f>IFERROR(VLOOKUP(F9,'Currency to EUR'!$A$2:$B$9,2,FALSE),NA())</f>
        <v/>
      </c>
      <c r="S9" s="9">
        <f>I9*R9</f>
        <v/>
      </c>
      <c r="T9" s="9">
        <f>J9*R9</f>
        <v/>
      </c>
      <c r="U9" s="9">
        <f>K9*R9</f>
        <v/>
      </c>
      <c r="V9" s="9">
        <f>L9*R9</f>
        <v/>
      </c>
      <c r="W9" s="9">
        <f>M9*R9</f>
        <v/>
      </c>
      <c r="X9" s="9">
        <f>N9*R9</f>
        <v/>
      </c>
      <c r="Y9" s="9">
        <f>O9*R9</f>
        <v/>
      </c>
      <c r="Z9" s="9">
        <f>P9*R9</f>
        <v/>
      </c>
      <c r="AA9" s="9">
        <f>Y9-Z9</f>
        <v/>
      </c>
      <c r="AB9" s="10">
        <f>IFERROR(S9/W9,0)</f>
        <v/>
      </c>
    </row>
    <row r="10">
      <c r="A10" s="2" t="n">
        <v>60109</v>
      </c>
      <c r="B10" s="2" t="inlineStr">
        <is>
          <t>DANG Khoa</t>
        </is>
      </c>
      <c r="C10" s="2" t="inlineStr">
        <is>
          <t>Manager</t>
        </is>
      </c>
      <c r="D10" s="2" t="inlineStr">
        <is>
          <t>In</t>
        </is>
      </c>
      <c r="E10" s="2" t="inlineStr">
        <is>
          <t>Vietnam</t>
        </is>
      </c>
      <c r="F10" s="2" t="inlineStr">
        <is>
          <t>VND</t>
        </is>
      </c>
      <c r="G10" s="8" t="n">
        <v>46023</v>
      </c>
      <c r="H10" s="8" t="n">
        <v>46387</v>
      </c>
      <c r="I10" s="9" t="n">
        <v>32793966.42</v>
      </c>
      <c r="J10" s="9" t="n">
        <v>33777785.42</v>
      </c>
      <c r="K10" s="9" t="n">
        <v>-983819</v>
      </c>
      <c r="L10" s="9" t="n">
        <v>120779328.15</v>
      </c>
      <c r="M10" s="9" t="n">
        <v>40259776.05</v>
      </c>
      <c r="N10" s="9" t="n">
        <v>1459465805.99</v>
      </c>
      <c r="O10" s="9" t="n">
        <v>236010996.35</v>
      </c>
      <c r="P10" s="9" t="n">
        <v>65093587.56</v>
      </c>
      <c r="Q10" s="9">
        <f>O10-P10</f>
        <v/>
      </c>
      <c r="R10" s="3">
        <f>IFERROR(VLOOKUP(F10,'Currency to EUR'!$A$2:$B$9,2,FALSE),NA())</f>
        <v/>
      </c>
      <c r="S10" s="9">
        <f>I10*R10</f>
        <v/>
      </c>
      <c r="T10" s="9">
        <f>J10*R10</f>
        <v/>
      </c>
      <c r="U10" s="9">
        <f>K10*R10</f>
        <v/>
      </c>
      <c r="V10" s="9">
        <f>L10*R10</f>
        <v/>
      </c>
      <c r="W10" s="9">
        <f>M10*R10</f>
        <v/>
      </c>
      <c r="X10" s="9">
        <f>N10*R10</f>
        <v/>
      </c>
      <c r="Y10" s="9">
        <f>O10*R10</f>
        <v/>
      </c>
      <c r="Z10" s="9">
        <f>P10*R10</f>
        <v/>
      </c>
      <c r="AA10" s="9">
        <f>Y10-Z10</f>
        <v/>
      </c>
      <c r="AB10" s="10">
        <f>IFERROR(S10/W10,0)</f>
        <v/>
      </c>
    </row>
    <row r="11">
      <c r="A11" s="2" t="n">
        <v>60110</v>
      </c>
      <c r="B11" s="2" t="inlineStr">
        <is>
          <t>NGO Thao</t>
        </is>
      </c>
      <c r="C11" s="2" t="inlineStr">
        <is>
          <t>Manager</t>
        </is>
      </c>
      <c r="D11" s="2" t="inlineStr">
        <is>
          <t>In</t>
        </is>
      </c>
      <c r="E11" s="2" t="inlineStr">
        <is>
          <t>Vietnam</t>
        </is>
      </c>
      <c r="F11" s="2" t="inlineStr">
        <is>
          <t>VND</t>
        </is>
      </c>
      <c r="G11" s="8" t="n">
        <v>46023</v>
      </c>
      <c r="H11" s="8" t="n">
        <v>46387</v>
      </c>
      <c r="I11" s="9" t="n">
        <v>34887269.21</v>
      </c>
      <c r="J11" s="9" t="n">
        <v>30621123.18</v>
      </c>
      <c r="K11" s="9" t="n">
        <v>4266146.04</v>
      </c>
      <c r="L11" s="9" t="n">
        <v>123557648.85</v>
      </c>
      <c r="M11" s="9" t="n">
        <v>41185882.95</v>
      </c>
      <c r="N11" s="9" t="n">
        <v>568574683.79</v>
      </c>
      <c r="O11" s="9" t="n">
        <v>89315493.90000001</v>
      </c>
      <c r="P11" s="9" t="n">
        <v>8550452.85</v>
      </c>
      <c r="Q11" s="9">
        <f>O11-P11</f>
        <v/>
      </c>
      <c r="R11" s="3">
        <f>IFERROR(VLOOKUP(F11,'Currency to EUR'!$A$2:$B$9,2,FALSE),NA())</f>
        <v/>
      </c>
      <c r="S11" s="9">
        <f>I11*R11</f>
        <v/>
      </c>
      <c r="T11" s="9">
        <f>J11*R11</f>
        <v/>
      </c>
      <c r="U11" s="9">
        <f>K11*R11</f>
        <v/>
      </c>
      <c r="V11" s="9">
        <f>L11*R11</f>
        <v/>
      </c>
      <c r="W11" s="9">
        <f>M11*R11</f>
        <v/>
      </c>
      <c r="X11" s="9">
        <f>N11*R11</f>
        <v/>
      </c>
      <c r="Y11" s="9">
        <f>O11*R11</f>
        <v/>
      </c>
      <c r="Z11" s="9">
        <f>P11*R11</f>
        <v/>
      </c>
      <c r="AA11" s="9">
        <f>Y11-Z11</f>
        <v/>
      </c>
      <c r="AB11" s="10">
        <f>IFERROR(S11/W11,0)</f>
        <v/>
      </c>
    </row>
    <row r="12">
      <c r="A12" s="2" t="n">
        <v>60111</v>
      </c>
      <c r="B12" s="2" t="inlineStr">
        <is>
          <t>PHAN Nam</t>
        </is>
      </c>
      <c r="C12" s="2" t="inlineStr">
        <is>
          <t>Manager</t>
        </is>
      </c>
      <c r="D12" s="2" t="inlineStr">
        <is>
          <t>In</t>
        </is>
      </c>
      <c r="E12" s="2" t="inlineStr">
        <is>
          <t>Vietnam</t>
        </is>
      </c>
      <c r="F12" s="2" t="inlineStr">
        <is>
          <t>VND</t>
        </is>
      </c>
      <c r="G12" s="8" t="n">
        <v>46023</v>
      </c>
      <c r="H12" s="8" t="n">
        <v>46387</v>
      </c>
      <c r="I12" s="9" t="n">
        <v>33672656.5</v>
      </c>
      <c r="J12" s="9" t="n">
        <v>34682836.19</v>
      </c>
      <c r="K12" s="9" t="n">
        <v>-1010179.7</v>
      </c>
      <c r="L12" s="9" t="n">
        <v>114269014.14</v>
      </c>
      <c r="M12" s="9" t="n">
        <v>38089671.38</v>
      </c>
      <c r="N12" s="9" t="n">
        <v>1477612249.06</v>
      </c>
      <c r="O12" s="9" t="n">
        <v>231021209.92</v>
      </c>
      <c r="P12" s="9" t="n">
        <v>123974330.81</v>
      </c>
      <c r="Q12" s="9">
        <f>O12-P12</f>
        <v/>
      </c>
      <c r="R12" s="3">
        <f>IFERROR(VLOOKUP(F12,'Currency to EUR'!$A$2:$B$9,2,FALSE),NA())</f>
        <v/>
      </c>
      <c r="S12" s="9">
        <f>I12*R12</f>
        <v/>
      </c>
      <c r="T12" s="9">
        <f>J12*R12</f>
        <v/>
      </c>
      <c r="U12" s="9">
        <f>K12*R12</f>
        <v/>
      </c>
      <c r="V12" s="9">
        <f>L12*R12</f>
        <v/>
      </c>
      <c r="W12" s="9">
        <f>M12*R12</f>
        <v/>
      </c>
      <c r="X12" s="9">
        <f>N12*R12</f>
        <v/>
      </c>
      <c r="Y12" s="9">
        <f>O12*R12</f>
        <v/>
      </c>
      <c r="Z12" s="9">
        <f>P12*R12</f>
        <v/>
      </c>
      <c r="AA12" s="9">
        <f>Y12-Z12</f>
        <v/>
      </c>
      <c r="AB12" s="10">
        <f>IFERROR(S12/W12,0)</f>
        <v/>
      </c>
    </row>
    <row r="13">
      <c r="A13" s="2" t="n">
        <v>60112</v>
      </c>
      <c r="B13" s="2" t="inlineStr">
        <is>
          <t>HUYNH Lan</t>
        </is>
      </c>
      <c r="C13" s="2" t="inlineStr">
        <is>
          <t>Manager</t>
        </is>
      </c>
      <c r="D13" s="2" t="inlineStr">
        <is>
          <t>In</t>
        </is>
      </c>
      <c r="E13" s="2" t="inlineStr">
        <is>
          <t>Vietnam</t>
        </is>
      </c>
      <c r="F13" s="2" t="inlineStr">
        <is>
          <t>VND</t>
        </is>
      </c>
      <c r="G13" s="8" t="n">
        <v>46023</v>
      </c>
      <c r="H13" s="8" t="n">
        <v>46387</v>
      </c>
      <c r="I13" s="9" t="n">
        <v>31766420.71</v>
      </c>
      <c r="J13" s="9" t="n">
        <v>27881903.73</v>
      </c>
      <c r="K13" s="9" t="n">
        <v>3884516.98</v>
      </c>
      <c r="L13" s="9" t="n">
        <v>120030567.18</v>
      </c>
      <c r="M13" s="9" t="n">
        <v>40010189.06</v>
      </c>
      <c r="N13" s="9" t="n">
        <v>1758754220.48</v>
      </c>
      <c r="O13" s="9" t="n">
        <v>284409086.11</v>
      </c>
      <c r="P13" s="9" t="n">
        <v>28812538.14</v>
      </c>
      <c r="Q13" s="9">
        <f>O13-P13</f>
        <v/>
      </c>
      <c r="R13" s="3">
        <f>IFERROR(VLOOKUP(F13,'Currency to EUR'!$A$2:$B$9,2,FALSE),NA())</f>
        <v/>
      </c>
      <c r="S13" s="9">
        <f>I13*R13</f>
        <v/>
      </c>
      <c r="T13" s="9">
        <f>J13*R13</f>
        <v/>
      </c>
      <c r="U13" s="9">
        <f>K13*R13</f>
        <v/>
      </c>
      <c r="V13" s="9">
        <f>L13*R13</f>
        <v/>
      </c>
      <c r="W13" s="9">
        <f>M13*R13</f>
        <v/>
      </c>
      <c r="X13" s="9">
        <f>N13*R13</f>
        <v/>
      </c>
      <c r="Y13" s="9">
        <f>O13*R13</f>
        <v/>
      </c>
      <c r="Z13" s="9">
        <f>P13*R13</f>
        <v/>
      </c>
      <c r="AA13" s="9">
        <f>Y13-Z13</f>
        <v/>
      </c>
      <c r="AB13" s="10">
        <f>IFERROR(S13/W13,0)</f>
        <v/>
      </c>
    </row>
    <row r="14">
      <c r="A14" s="2" t="n">
        <v>60113</v>
      </c>
      <c r="B14" s="2" t="inlineStr">
        <is>
          <t>TRUONG Bao</t>
        </is>
      </c>
      <c r="C14" s="2" t="inlineStr">
        <is>
          <t>Manager</t>
        </is>
      </c>
      <c r="D14" s="2" t="inlineStr">
        <is>
          <t>In</t>
        </is>
      </c>
      <c r="E14" s="2" t="inlineStr">
        <is>
          <t>Vietnam</t>
        </is>
      </c>
      <c r="F14" s="2" t="inlineStr">
        <is>
          <t>VND</t>
        </is>
      </c>
      <c r="G14" s="8" t="n">
        <v>46023</v>
      </c>
      <c r="H14" s="8" t="n">
        <v>46387</v>
      </c>
      <c r="I14" s="9" t="n">
        <v>35268409.58</v>
      </c>
      <c r="J14" s="9" t="n">
        <v>30955656.27</v>
      </c>
      <c r="K14" s="9" t="n">
        <v>4312753.31</v>
      </c>
      <c r="L14" s="9" t="n">
        <v>116226694.71</v>
      </c>
      <c r="M14" s="9" t="n">
        <v>38742231.57</v>
      </c>
      <c r="N14" s="9" t="n">
        <v>495640646.23</v>
      </c>
      <c r="O14" s="9" t="n">
        <v>77858530.08</v>
      </c>
      <c r="P14" s="9" t="n">
        <v>8700560.189999999</v>
      </c>
      <c r="Q14" s="9">
        <f>O14-P14</f>
        <v/>
      </c>
      <c r="R14" s="3">
        <f>IFERROR(VLOOKUP(F14,'Currency to EUR'!$A$2:$B$9,2,FALSE),NA())</f>
        <v/>
      </c>
      <c r="S14" s="9">
        <f>I14*R14</f>
        <v/>
      </c>
      <c r="T14" s="9">
        <f>J14*R14</f>
        <v/>
      </c>
      <c r="U14" s="9">
        <f>K14*R14</f>
        <v/>
      </c>
      <c r="V14" s="9">
        <f>L14*R14</f>
        <v/>
      </c>
      <c r="W14" s="9">
        <f>M14*R14</f>
        <v/>
      </c>
      <c r="X14" s="9">
        <f>N14*R14</f>
        <v/>
      </c>
      <c r="Y14" s="9">
        <f>O14*R14</f>
        <v/>
      </c>
      <c r="Z14" s="9">
        <f>P14*R14</f>
        <v/>
      </c>
      <c r="AA14" s="9">
        <f>Y14-Z14</f>
        <v/>
      </c>
      <c r="AB14" s="10">
        <f>IFERROR(S14/W14,0)</f>
        <v/>
      </c>
    </row>
    <row r="15">
      <c r="A15" s="2" t="n">
        <v>60114</v>
      </c>
      <c r="B15" s="2" t="inlineStr">
        <is>
          <t>VO My</t>
        </is>
      </c>
      <c r="C15" s="2" t="inlineStr">
        <is>
          <t>Manager</t>
        </is>
      </c>
      <c r="D15" s="2" t="inlineStr">
        <is>
          <t>In</t>
        </is>
      </c>
      <c r="E15" s="2" t="inlineStr">
        <is>
          <t>Vietnam</t>
        </is>
      </c>
      <c r="F15" s="2" t="inlineStr">
        <is>
          <t>VND</t>
        </is>
      </c>
      <c r="G15" s="8" t="n">
        <v>46023</v>
      </c>
      <c r="H15" s="8" t="n">
        <v>46387</v>
      </c>
      <c r="I15" s="9" t="n">
        <v>37891474.13</v>
      </c>
      <c r="J15" s="9" t="n">
        <v>39028218.36</v>
      </c>
      <c r="K15" s="9" t="n">
        <v>-1136744.23</v>
      </c>
      <c r="L15" s="9" t="n">
        <v>123713581.63</v>
      </c>
      <c r="M15" s="9" t="n">
        <v>41237860.54</v>
      </c>
      <c r="N15" s="9" t="n">
        <v>1376382739.8</v>
      </c>
      <c r="O15" s="9" t="n">
        <v>215194213.53</v>
      </c>
      <c r="P15" s="9" t="n">
        <v>117622854.3</v>
      </c>
      <c r="Q15" s="9">
        <f>O15-P15</f>
        <v/>
      </c>
      <c r="R15" s="3">
        <f>IFERROR(VLOOKUP(F15,'Currency to EUR'!$A$2:$B$9,2,FALSE),NA())</f>
        <v/>
      </c>
      <c r="S15" s="9">
        <f>I15*R15</f>
        <v/>
      </c>
      <c r="T15" s="9">
        <f>J15*R15</f>
        <v/>
      </c>
      <c r="U15" s="9">
        <f>K15*R15</f>
        <v/>
      </c>
      <c r="V15" s="9">
        <f>L15*R15</f>
        <v/>
      </c>
      <c r="W15" s="9">
        <f>M15*R15</f>
        <v/>
      </c>
      <c r="X15" s="9">
        <f>N15*R15</f>
        <v/>
      </c>
      <c r="Y15" s="9">
        <f>O15*R15</f>
        <v/>
      </c>
      <c r="Z15" s="9">
        <f>P15*R15</f>
        <v/>
      </c>
      <c r="AA15" s="9">
        <f>Y15-Z15</f>
        <v/>
      </c>
      <c r="AB15" s="10">
        <f>IFERROR(S15/W15,0)</f>
        <v/>
      </c>
    </row>
    <row r="16">
      <c r="A16" s="2" t="n">
        <v>60115</v>
      </c>
      <c r="B16" s="2" t="inlineStr">
        <is>
          <t>DINH Son</t>
        </is>
      </c>
      <c r="C16" s="2" t="inlineStr">
        <is>
          <t>Manager</t>
        </is>
      </c>
      <c r="D16" s="2" t="inlineStr">
        <is>
          <t>In</t>
        </is>
      </c>
      <c r="E16" s="2" t="inlineStr">
        <is>
          <t>Vietnam</t>
        </is>
      </c>
      <c r="F16" s="2" t="inlineStr">
        <is>
          <t>VND</t>
        </is>
      </c>
      <c r="G16" s="8" t="n">
        <v>46023</v>
      </c>
      <c r="H16" s="8" t="n">
        <v>46387</v>
      </c>
      <c r="I16" s="9" t="n">
        <v>32276865.72</v>
      </c>
      <c r="J16" s="9" t="n">
        <v>33245171.69</v>
      </c>
      <c r="K16" s="9" t="n">
        <v>-968305.98</v>
      </c>
      <c r="L16" s="9" t="n">
        <v>118535510.12</v>
      </c>
      <c r="M16" s="9" t="n">
        <v>39511836.71</v>
      </c>
      <c r="N16" s="9" t="n">
        <v>1423054021.87</v>
      </c>
      <c r="O16" s="9" t="n">
        <v>230122827.33</v>
      </c>
      <c r="P16" s="9" t="n">
        <v>25383996.15</v>
      </c>
      <c r="Q16" s="9">
        <f>O16-P16</f>
        <v/>
      </c>
      <c r="R16" s="3">
        <f>IFERROR(VLOOKUP(F16,'Currency to EUR'!$A$2:$B$9,2,FALSE),NA())</f>
        <v/>
      </c>
      <c r="S16" s="9">
        <f>I16*R16</f>
        <v/>
      </c>
      <c r="T16" s="9">
        <f>J16*R16</f>
        <v/>
      </c>
      <c r="U16" s="9">
        <f>K16*R16</f>
        <v/>
      </c>
      <c r="V16" s="9">
        <f>L16*R16</f>
        <v/>
      </c>
      <c r="W16" s="9">
        <f>M16*R16</f>
        <v/>
      </c>
      <c r="X16" s="9">
        <f>N16*R16</f>
        <v/>
      </c>
      <c r="Y16" s="9">
        <f>O16*R16</f>
        <v/>
      </c>
      <c r="Z16" s="9">
        <f>P16*R16</f>
        <v/>
      </c>
      <c r="AA16" s="9">
        <f>Y16-Z16</f>
        <v/>
      </c>
      <c r="AB16" s="10">
        <f>IFERROR(S16/W16,0)</f>
        <v/>
      </c>
    </row>
    <row r="17">
      <c r="A17" s="2" t="n">
        <v>60116</v>
      </c>
      <c r="B17" s="2" t="inlineStr">
        <is>
          <t>MAI Ha</t>
        </is>
      </c>
      <c r="C17" s="2" t="inlineStr">
        <is>
          <t>Manager</t>
        </is>
      </c>
      <c r="D17" s="2" t="inlineStr">
        <is>
          <t>In</t>
        </is>
      </c>
      <c r="E17" s="2" t="inlineStr">
        <is>
          <t>Vietnam</t>
        </is>
      </c>
      <c r="F17" s="2" t="inlineStr">
        <is>
          <t>VND</t>
        </is>
      </c>
      <c r="G17" s="8" t="n">
        <v>46023</v>
      </c>
      <c r="H17" s="8" t="n">
        <v>46387</v>
      </c>
      <c r="I17" s="9" t="n">
        <v>30540787.22</v>
      </c>
      <c r="J17" s="9" t="n">
        <v>31457010.84</v>
      </c>
      <c r="K17" s="9" t="n">
        <v>-916223.62</v>
      </c>
      <c r="L17" s="9" t="n">
        <v>115850198.42</v>
      </c>
      <c r="M17" s="9" t="n">
        <v>38616732.81</v>
      </c>
      <c r="N17" s="9" t="n">
        <v>504375347.62</v>
      </c>
      <c r="O17" s="9" t="n">
        <v>79230635.06</v>
      </c>
      <c r="P17" s="9" t="n">
        <v>8000160.21</v>
      </c>
      <c r="Q17" s="9">
        <f>O17-P17</f>
        <v/>
      </c>
      <c r="R17" s="3">
        <f>IFERROR(VLOOKUP(F17,'Currency to EUR'!$A$2:$B$9,2,FALSE),NA())</f>
        <v/>
      </c>
      <c r="S17" s="9">
        <f>I17*R17</f>
        <v/>
      </c>
      <c r="T17" s="9">
        <f>J17*R17</f>
        <v/>
      </c>
      <c r="U17" s="9">
        <f>K17*R17</f>
        <v/>
      </c>
      <c r="V17" s="9">
        <f>L17*R17</f>
        <v/>
      </c>
      <c r="W17" s="9">
        <f>M17*R17</f>
        <v/>
      </c>
      <c r="X17" s="9">
        <f>N17*R17</f>
        <v/>
      </c>
      <c r="Y17" s="9">
        <f>O17*R17</f>
        <v/>
      </c>
      <c r="Z17" s="9">
        <f>P17*R17</f>
        <v/>
      </c>
      <c r="AA17" s="9">
        <f>Y17-Z17</f>
        <v/>
      </c>
      <c r="AB17" s="10">
        <f>IFERROR(S17/W17,0)</f>
        <v/>
      </c>
    </row>
    <row r="18">
      <c r="A18" s="2" t="n">
        <v>60117</v>
      </c>
      <c r="B18" s="2" t="inlineStr">
        <is>
          <t>TA Minh</t>
        </is>
      </c>
      <c r="C18" s="2" t="inlineStr">
        <is>
          <t>Manager</t>
        </is>
      </c>
      <c r="D18" s="2" t="inlineStr">
        <is>
          <t>In</t>
        </is>
      </c>
      <c r="E18" s="2" t="inlineStr">
        <is>
          <t>Vietnam</t>
        </is>
      </c>
      <c r="F18" s="2" t="inlineStr">
        <is>
          <t>VND</t>
        </is>
      </c>
      <c r="G18" s="8" t="n">
        <v>46023</v>
      </c>
      <c r="H18" s="8" t="n">
        <v>46387</v>
      </c>
      <c r="I18" s="9" t="n">
        <v>33409826.6</v>
      </c>
      <c r="J18" s="9" t="n">
        <v>34412121.4</v>
      </c>
      <c r="K18" s="9" t="n">
        <v>-1002294.8</v>
      </c>
      <c r="L18" s="9" t="n">
        <v>121782081.65</v>
      </c>
      <c r="M18" s="9" t="n">
        <v>40594027.22</v>
      </c>
      <c r="N18" s="9" t="n">
        <v>1475081913.82</v>
      </c>
      <c r="O18" s="9" t="n">
        <v>230625598</v>
      </c>
      <c r="P18" s="9" t="n">
        <v>119189055.07</v>
      </c>
      <c r="Q18" s="9">
        <f>O18-P18</f>
        <v/>
      </c>
      <c r="R18" s="3">
        <f>IFERROR(VLOOKUP(F18,'Currency to EUR'!$A$2:$B$9,2,FALSE),NA())</f>
        <v/>
      </c>
      <c r="S18" s="9">
        <f>I18*R18</f>
        <v/>
      </c>
      <c r="T18" s="9">
        <f>J18*R18</f>
        <v/>
      </c>
      <c r="U18" s="9">
        <f>K18*R18</f>
        <v/>
      </c>
      <c r="V18" s="9">
        <f>L18*R18</f>
        <v/>
      </c>
      <c r="W18" s="9">
        <f>M18*R18</f>
        <v/>
      </c>
      <c r="X18" s="9">
        <f>N18*R18</f>
        <v/>
      </c>
      <c r="Y18" s="9">
        <f>O18*R18</f>
        <v/>
      </c>
      <c r="Z18" s="9">
        <f>P18*R18</f>
        <v/>
      </c>
      <c r="AA18" s="9">
        <f>Y18-Z18</f>
        <v/>
      </c>
      <c r="AB18" s="10">
        <f>IFERROR(S18/W18,0)</f>
        <v/>
      </c>
    </row>
    <row r="19">
      <c r="A19" s="2" t="n">
        <v>60004</v>
      </c>
      <c r="B19" s="2" t="inlineStr">
        <is>
          <t>SIRIPONG Anan</t>
        </is>
      </c>
      <c r="C19" s="2" t="inlineStr">
        <is>
          <t>Senior manager</t>
        </is>
      </c>
      <c r="D19" s="2" t="inlineStr">
        <is>
          <t>In</t>
        </is>
      </c>
      <c r="E19" s="2" t="inlineStr">
        <is>
          <t>Thailand</t>
        </is>
      </c>
      <c r="F19" s="2" t="inlineStr">
        <is>
          <t>THB</t>
        </is>
      </c>
      <c r="G19" s="8" t="n">
        <v>46023</v>
      </c>
      <c r="H19" s="8" t="n">
        <v>46387</v>
      </c>
      <c r="I19" s="9" t="n">
        <v>184236.98</v>
      </c>
      <c r="J19" s="9" t="n">
        <v>189764.09</v>
      </c>
      <c r="K19" s="9" t="n">
        <v>-5527.11</v>
      </c>
      <c r="L19" s="9" t="n">
        <v>621105.03</v>
      </c>
      <c r="M19" s="9" t="n">
        <v>207035.01</v>
      </c>
      <c r="N19" s="9" t="n">
        <v>1884637.04</v>
      </c>
      <c r="O19" s="9" t="n">
        <v>310095.57</v>
      </c>
      <c r="P19" s="9" t="n">
        <v>11970.83</v>
      </c>
      <c r="Q19" s="9">
        <f>O19-P19</f>
        <v/>
      </c>
      <c r="R19" s="3">
        <f>IFERROR(VLOOKUP(F19,'Currency to EUR'!$A$2:$B$9,2,FALSE),NA())</f>
        <v/>
      </c>
      <c r="S19" s="9">
        <f>I19*R19</f>
        <v/>
      </c>
      <c r="T19" s="9">
        <f>J19*R19</f>
        <v/>
      </c>
      <c r="U19" s="9">
        <f>K19*R19</f>
        <v/>
      </c>
      <c r="V19" s="9">
        <f>L19*R19</f>
        <v/>
      </c>
      <c r="W19" s="9">
        <f>M19*R19</f>
        <v/>
      </c>
      <c r="X19" s="9">
        <f>N19*R19</f>
        <v/>
      </c>
      <c r="Y19" s="9">
        <f>O19*R19</f>
        <v/>
      </c>
      <c r="Z19" s="9">
        <f>P19*R19</f>
        <v/>
      </c>
      <c r="AA19" s="9">
        <f>Y19-Z19</f>
        <v/>
      </c>
      <c r="AB19" s="10">
        <f>IFERROR(S19/W19,0)</f>
        <v/>
      </c>
    </row>
    <row r="20">
      <c r="A20" s="2" t="n">
        <v>60005</v>
      </c>
      <c r="B20" s="2" t="inlineStr">
        <is>
          <t>CHAIYASIT Nicha</t>
        </is>
      </c>
      <c r="C20" s="2" t="inlineStr">
        <is>
          <t>Senior manager</t>
        </is>
      </c>
      <c r="D20" s="2" t="inlineStr">
        <is>
          <t>In</t>
        </is>
      </c>
      <c r="E20" s="2" t="inlineStr">
        <is>
          <t>Thailand</t>
        </is>
      </c>
      <c r="F20" s="2" t="inlineStr">
        <is>
          <t>THB</t>
        </is>
      </c>
      <c r="G20" s="8" t="n">
        <v>46023</v>
      </c>
      <c r="H20" s="8" t="n">
        <v>46387</v>
      </c>
      <c r="I20" s="9" t="n">
        <v>195180.54</v>
      </c>
      <c r="J20" s="9" t="n">
        <v>133870.31</v>
      </c>
      <c r="K20" s="9" t="n">
        <v>61310.23</v>
      </c>
      <c r="L20" s="9" t="n">
        <v>594330.95</v>
      </c>
      <c r="M20" s="9" t="n">
        <v>198110.32</v>
      </c>
      <c r="N20" s="9" t="n">
        <v>2928991.78</v>
      </c>
      <c r="O20" s="9" t="n">
        <v>393755.34</v>
      </c>
      <c r="P20" s="9" t="n">
        <v>0</v>
      </c>
      <c r="Q20" s="9">
        <f>O20-P20</f>
        <v/>
      </c>
      <c r="R20" s="3">
        <f>IFERROR(VLOOKUP(F20,'Currency to EUR'!$A$2:$B$9,2,FALSE),NA())</f>
        <v/>
      </c>
      <c r="S20" s="9">
        <f>I20*R20</f>
        <v/>
      </c>
      <c r="T20" s="9">
        <f>J20*R20</f>
        <v/>
      </c>
      <c r="U20" s="9">
        <f>K20*R20</f>
        <v/>
      </c>
      <c r="V20" s="9">
        <f>L20*R20</f>
        <v/>
      </c>
      <c r="W20" s="9">
        <f>M20*R20</f>
        <v/>
      </c>
      <c r="X20" s="9">
        <f>N20*R20</f>
        <v/>
      </c>
      <c r="Y20" s="9">
        <f>O20*R20</f>
        <v/>
      </c>
      <c r="Z20" s="9">
        <f>P20*R20</f>
        <v/>
      </c>
      <c r="AA20" s="9">
        <f>Y20-Z20</f>
        <v/>
      </c>
      <c r="AB20" s="10">
        <f>IFERROR(S20/W20,0)</f>
        <v/>
      </c>
    </row>
    <row r="21">
      <c r="A21" s="2" t="n">
        <v>60006</v>
      </c>
      <c r="B21" s="2" t="inlineStr">
        <is>
          <t>WONGSA Kanya</t>
        </is>
      </c>
      <c r="C21" s="2" t="inlineStr">
        <is>
          <t>Experienced manager</t>
        </is>
      </c>
      <c r="D21" s="2" t="inlineStr">
        <is>
          <t>In</t>
        </is>
      </c>
      <c r="E21" s="2" t="inlineStr">
        <is>
          <t>Thailand</t>
        </is>
      </c>
      <c r="F21" s="2" t="inlineStr">
        <is>
          <t>THB</t>
        </is>
      </c>
      <c r="G21" s="8" t="n">
        <v>46023</v>
      </c>
      <c r="H21" s="8" t="n">
        <v>46387</v>
      </c>
      <c r="I21" s="9" t="n">
        <v>145466.35</v>
      </c>
      <c r="J21" s="9" t="n">
        <v>125227.47</v>
      </c>
      <c r="K21" s="9" t="n">
        <v>20238.88</v>
      </c>
      <c r="L21" s="9" t="n">
        <v>440447.91</v>
      </c>
      <c r="M21" s="9" t="n">
        <v>146815.97</v>
      </c>
      <c r="N21" s="9" t="n">
        <v>3671683.59</v>
      </c>
      <c r="O21" s="9" t="n">
        <v>693170.95</v>
      </c>
      <c r="P21" s="9" t="n">
        <v>327063.59</v>
      </c>
      <c r="Q21" s="9">
        <f>O21-P21</f>
        <v/>
      </c>
      <c r="R21" s="3">
        <f>IFERROR(VLOOKUP(F21,'Currency to EUR'!$A$2:$B$9,2,FALSE),NA())</f>
        <v/>
      </c>
      <c r="S21" s="9">
        <f>I21*R21</f>
        <v/>
      </c>
      <c r="T21" s="9">
        <f>J21*R21</f>
        <v/>
      </c>
      <c r="U21" s="9">
        <f>K21*R21</f>
        <v/>
      </c>
      <c r="V21" s="9">
        <f>L21*R21</f>
        <v/>
      </c>
      <c r="W21" s="9">
        <f>M21*R21</f>
        <v/>
      </c>
      <c r="X21" s="9">
        <f>N21*R21</f>
        <v/>
      </c>
      <c r="Y21" s="9">
        <f>O21*R21</f>
        <v/>
      </c>
      <c r="Z21" s="9">
        <f>P21*R21</f>
        <v/>
      </c>
      <c r="AA21" s="9">
        <f>Y21-Z21</f>
        <v/>
      </c>
      <c r="AB21" s="10">
        <f>IFERROR(S21/W21,0)</f>
        <v/>
      </c>
    </row>
    <row r="22">
      <c r="A22" s="2" t="n">
        <v>60121</v>
      </c>
      <c r="B22" s="2" t="inlineStr">
        <is>
          <t>PRASERT Somchai</t>
        </is>
      </c>
      <c r="C22" s="2" t="inlineStr">
        <is>
          <t>Senior manager</t>
        </is>
      </c>
      <c r="D22" s="2" t="inlineStr">
        <is>
          <t>In</t>
        </is>
      </c>
      <c r="E22" s="2" t="inlineStr">
        <is>
          <t>Thailand</t>
        </is>
      </c>
      <c r="F22" s="2" t="inlineStr">
        <is>
          <t>THB</t>
        </is>
      </c>
      <c r="G22" s="8" t="n">
        <v>46023</v>
      </c>
      <c r="H22" s="8" t="n">
        <v>46387</v>
      </c>
      <c r="I22" s="9" t="n">
        <v>196511.3</v>
      </c>
      <c r="J22" s="9" t="n">
        <v>202406.64</v>
      </c>
      <c r="K22" s="9" t="n">
        <v>-5895.34</v>
      </c>
      <c r="L22" s="9" t="n">
        <v>620991.2</v>
      </c>
      <c r="M22" s="9" t="n">
        <v>206997.07</v>
      </c>
      <c r="N22" s="9" t="n">
        <v>1762369.12</v>
      </c>
      <c r="O22" s="9" t="n">
        <v>289977.79</v>
      </c>
      <c r="P22" s="9" t="n">
        <v>9571.799999999999</v>
      </c>
      <c r="Q22" s="9">
        <f>O22-P22</f>
        <v/>
      </c>
      <c r="R22" s="3">
        <f>IFERROR(VLOOKUP(F22,'Currency to EUR'!$A$2:$B$9,2,FALSE),NA())</f>
        <v/>
      </c>
      <c r="S22" s="9">
        <f>I22*R22</f>
        <v/>
      </c>
      <c r="T22" s="9">
        <f>J22*R22</f>
        <v/>
      </c>
      <c r="U22" s="9">
        <f>K22*R22</f>
        <v/>
      </c>
      <c r="V22" s="9">
        <f>L22*R22</f>
        <v/>
      </c>
      <c r="W22" s="9">
        <f>M22*R22</f>
        <v/>
      </c>
      <c r="X22" s="9">
        <f>N22*R22</f>
        <v/>
      </c>
      <c r="Y22" s="9">
        <f>O22*R22</f>
        <v/>
      </c>
      <c r="Z22" s="9">
        <f>P22*R22</f>
        <v/>
      </c>
      <c r="AA22" s="9">
        <f>Y22-Z22</f>
        <v/>
      </c>
      <c r="AB22" s="10">
        <f>IFERROR(S22/W22,0)</f>
        <v/>
      </c>
    </row>
    <row r="23">
      <c r="A23" s="2" t="n">
        <v>60122</v>
      </c>
      <c r="B23" s="2" t="inlineStr">
        <is>
          <t>KITTIPONG Mali</t>
        </is>
      </c>
      <c r="C23" s="2" t="inlineStr">
        <is>
          <t>Senior manager</t>
        </is>
      </c>
      <c r="D23" s="2" t="inlineStr">
        <is>
          <t>In</t>
        </is>
      </c>
      <c r="E23" s="2" t="inlineStr">
        <is>
          <t>Thailand</t>
        </is>
      </c>
      <c r="F23" s="2" t="inlineStr">
        <is>
          <t>THB</t>
        </is>
      </c>
      <c r="G23" s="8" t="n">
        <v>46023</v>
      </c>
      <c r="H23" s="8" t="n">
        <v>46387</v>
      </c>
      <c r="I23" s="9" t="n">
        <v>188299.56</v>
      </c>
      <c r="J23" s="9" t="n">
        <v>193948.55</v>
      </c>
      <c r="K23" s="9" t="n">
        <v>-5648.99</v>
      </c>
      <c r="L23" s="9" t="n">
        <v>594161.92</v>
      </c>
      <c r="M23" s="9" t="n">
        <v>198053.97</v>
      </c>
      <c r="N23" s="9" t="n">
        <v>3144304.38</v>
      </c>
      <c r="O23" s="9" t="n">
        <v>422700.68</v>
      </c>
      <c r="P23" s="9" t="n">
        <v>0</v>
      </c>
      <c r="Q23" s="9">
        <f>O23-P23</f>
        <v/>
      </c>
      <c r="R23" s="3">
        <f>IFERROR(VLOOKUP(F23,'Currency to EUR'!$A$2:$B$9,2,FALSE),NA())</f>
        <v/>
      </c>
      <c r="S23" s="9">
        <f>I23*R23</f>
        <v/>
      </c>
      <c r="T23" s="9">
        <f>J23*R23</f>
        <v/>
      </c>
      <c r="U23" s="9">
        <f>K23*R23</f>
        <v/>
      </c>
      <c r="V23" s="9">
        <f>L23*R23</f>
        <v/>
      </c>
      <c r="W23" s="9">
        <f>M23*R23</f>
        <v/>
      </c>
      <c r="X23" s="9">
        <f>N23*R23</f>
        <v/>
      </c>
      <c r="Y23" s="9">
        <f>O23*R23</f>
        <v/>
      </c>
      <c r="Z23" s="9">
        <f>P23*R23</f>
        <v/>
      </c>
      <c r="AA23" s="9">
        <f>Y23-Z23</f>
        <v/>
      </c>
      <c r="AB23" s="10">
        <f>IFERROR(S23/W23,0)</f>
        <v/>
      </c>
    </row>
    <row r="24">
      <c r="A24" s="2" t="n">
        <v>60123</v>
      </c>
      <c r="B24" s="2" t="inlineStr">
        <is>
          <t>PIMCHANOK Narin</t>
        </is>
      </c>
      <c r="C24" s="2" t="inlineStr">
        <is>
          <t>Senior manager</t>
        </is>
      </c>
      <c r="D24" s="2" t="inlineStr">
        <is>
          <t>In</t>
        </is>
      </c>
      <c r="E24" s="2" t="inlineStr">
        <is>
          <t>Thailand</t>
        </is>
      </c>
      <c r="F24" s="2" t="inlineStr">
        <is>
          <t>THB</t>
        </is>
      </c>
      <c r="G24" s="8" t="n">
        <v>46023</v>
      </c>
      <c r="H24" s="8" t="n">
        <v>46387</v>
      </c>
      <c r="I24" s="9" t="n">
        <v>195053.79</v>
      </c>
      <c r="J24" s="9" t="n">
        <v>133783.38</v>
      </c>
      <c r="K24" s="9" t="n">
        <v>61270.42</v>
      </c>
      <c r="L24" s="9" t="n">
        <v>606163.6899999999</v>
      </c>
      <c r="M24" s="9" t="n">
        <v>202054.56</v>
      </c>
      <c r="N24" s="9" t="n">
        <v>4018187.22</v>
      </c>
      <c r="O24" s="9" t="n">
        <v>758586.7999999999</v>
      </c>
      <c r="P24" s="9" t="n">
        <v>34920.69</v>
      </c>
      <c r="Q24" s="9">
        <f>O24-P24</f>
        <v/>
      </c>
      <c r="R24" s="3">
        <f>IFERROR(VLOOKUP(F24,'Currency to EUR'!$A$2:$B$9,2,FALSE),NA())</f>
        <v/>
      </c>
      <c r="S24" s="9">
        <f>I24*R24</f>
        <v/>
      </c>
      <c r="T24" s="9">
        <f>J24*R24</f>
        <v/>
      </c>
      <c r="U24" s="9">
        <f>K24*R24</f>
        <v/>
      </c>
      <c r="V24" s="9">
        <f>L24*R24</f>
        <v/>
      </c>
      <c r="W24" s="9">
        <f>M24*R24</f>
        <v/>
      </c>
      <c r="X24" s="9">
        <f>N24*R24</f>
        <v/>
      </c>
      <c r="Y24" s="9">
        <f>O24*R24</f>
        <v/>
      </c>
      <c r="Z24" s="9">
        <f>P24*R24</f>
        <v/>
      </c>
      <c r="AA24" s="9">
        <f>Y24-Z24</f>
        <v/>
      </c>
      <c r="AB24" s="10">
        <f>IFERROR(S24/W24,0)</f>
        <v/>
      </c>
    </row>
    <row r="25">
      <c r="A25" s="2" t="n">
        <v>60124</v>
      </c>
      <c r="B25" s="2" t="inlineStr">
        <is>
          <t>CHANTHARA Kanya</t>
        </is>
      </c>
      <c r="C25" s="2" t="inlineStr">
        <is>
          <t>Senior manager</t>
        </is>
      </c>
      <c r="D25" s="2" t="inlineStr">
        <is>
          <t>In</t>
        </is>
      </c>
      <c r="E25" s="2" t="inlineStr">
        <is>
          <t>Thailand</t>
        </is>
      </c>
      <c r="F25" s="2" t="inlineStr">
        <is>
          <t>THB</t>
        </is>
      </c>
      <c r="G25" s="8" t="n">
        <v>46023</v>
      </c>
      <c r="H25" s="8" t="n">
        <v>46387</v>
      </c>
      <c r="I25" s="9" t="n">
        <v>173585.62</v>
      </c>
      <c r="J25" s="9" t="n">
        <v>119058.8</v>
      </c>
      <c r="K25" s="9" t="n">
        <v>54526.82</v>
      </c>
      <c r="L25" s="9" t="n">
        <v>626476.4399999999</v>
      </c>
      <c r="M25" s="9" t="n">
        <v>208825.48</v>
      </c>
      <c r="N25" s="9" t="n">
        <v>1866902.1</v>
      </c>
      <c r="O25" s="9" t="n">
        <v>307177.47</v>
      </c>
      <c r="P25" s="9" t="n">
        <v>9966.370000000001</v>
      </c>
      <c r="Q25" s="9">
        <f>O25-P25</f>
        <v/>
      </c>
      <c r="R25" s="3">
        <f>IFERROR(VLOOKUP(F25,'Currency to EUR'!$A$2:$B$9,2,FALSE),NA())</f>
        <v/>
      </c>
      <c r="S25" s="9">
        <f>I25*R25</f>
        <v/>
      </c>
      <c r="T25" s="9">
        <f>J25*R25</f>
        <v/>
      </c>
      <c r="U25" s="9">
        <f>K25*R25</f>
        <v/>
      </c>
      <c r="V25" s="9">
        <f>L25*R25</f>
        <v/>
      </c>
      <c r="W25" s="9">
        <f>M25*R25</f>
        <v/>
      </c>
      <c r="X25" s="9">
        <f>N25*R25</f>
        <v/>
      </c>
      <c r="Y25" s="9">
        <f>O25*R25</f>
        <v/>
      </c>
      <c r="Z25" s="9">
        <f>P25*R25</f>
        <v/>
      </c>
      <c r="AA25" s="9">
        <f>Y25-Z25</f>
        <v/>
      </c>
      <c r="AB25" s="10">
        <f>IFERROR(S25/W25,0)</f>
        <v/>
      </c>
    </row>
    <row r="26">
      <c r="A26" s="2" t="n">
        <v>60125</v>
      </c>
      <c r="B26" s="2" t="inlineStr">
        <is>
          <t>RATTANA Anong</t>
        </is>
      </c>
      <c r="C26" s="2" t="inlineStr">
        <is>
          <t>Experienced manager</t>
        </is>
      </c>
      <c r="D26" s="2" t="inlineStr">
        <is>
          <t>In</t>
        </is>
      </c>
      <c r="E26" s="2" t="inlineStr">
        <is>
          <t>Thailand</t>
        </is>
      </c>
      <c r="F26" s="2" t="inlineStr">
        <is>
          <t>THB</t>
        </is>
      </c>
      <c r="G26" s="8" t="n">
        <v>46023</v>
      </c>
      <c r="H26" s="8" t="n">
        <v>46387</v>
      </c>
      <c r="I26" s="9" t="n">
        <v>140642.04</v>
      </c>
      <c r="J26" s="9" t="n">
        <v>121074.37</v>
      </c>
      <c r="K26" s="9" t="n">
        <v>19567.67</v>
      </c>
      <c r="L26" s="9" t="n">
        <v>457130.7</v>
      </c>
      <c r="M26" s="9" t="n">
        <v>152376.9</v>
      </c>
      <c r="N26" s="9" t="n">
        <v>2667658.52</v>
      </c>
      <c r="O26" s="9" t="n">
        <v>358623.33</v>
      </c>
      <c r="P26" s="9" t="n">
        <v>185110.36</v>
      </c>
      <c r="Q26" s="9">
        <f>O26-P26</f>
        <v/>
      </c>
      <c r="R26" s="3">
        <f>IFERROR(VLOOKUP(F26,'Currency to EUR'!$A$2:$B$9,2,FALSE),NA())</f>
        <v/>
      </c>
      <c r="S26" s="9">
        <f>I26*R26</f>
        <v/>
      </c>
      <c r="T26" s="9">
        <f>J26*R26</f>
        <v/>
      </c>
      <c r="U26" s="9">
        <f>K26*R26</f>
        <v/>
      </c>
      <c r="V26" s="9">
        <f>L26*R26</f>
        <v/>
      </c>
      <c r="W26" s="9">
        <f>M26*R26</f>
        <v/>
      </c>
      <c r="X26" s="9">
        <f>N26*R26</f>
        <v/>
      </c>
      <c r="Y26" s="9">
        <f>O26*R26</f>
        <v/>
      </c>
      <c r="Z26" s="9">
        <f>P26*R26</f>
        <v/>
      </c>
      <c r="AA26" s="9">
        <f>Y26-Z26</f>
        <v/>
      </c>
      <c r="AB26" s="10">
        <f>IFERROR(S26/W26,0)</f>
        <v/>
      </c>
    </row>
    <row r="27">
      <c r="A27" s="2" t="n">
        <v>60126</v>
      </c>
      <c r="B27" s="2" t="inlineStr">
        <is>
          <t>SURIYA Nop</t>
        </is>
      </c>
      <c r="C27" s="2" t="inlineStr">
        <is>
          <t>Experienced manager</t>
        </is>
      </c>
      <c r="D27" s="2" t="inlineStr">
        <is>
          <t>In</t>
        </is>
      </c>
      <c r="E27" s="2" t="inlineStr">
        <is>
          <t>Thailand</t>
        </is>
      </c>
      <c r="F27" s="2" t="inlineStr">
        <is>
          <t>THB</t>
        </is>
      </c>
      <c r="G27" s="8" t="n">
        <v>46023</v>
      </c>
      <c r="H27" s="8" t="n">
        <v>46387</v>
      </c>
      <c r="I27" s="9" t="n">
        <v>151349.2</v>
      </c>
      <c r="J27" s="9" t="n">
        <v>130291.83</v>
      </c>
      <c r="K27" s="9" t="n">
        <v>21057.37</v>
      </c>
      <c r="L27" s="9" t="n">
        <v>429987.08</v>
      </c>
      <c r="M27" s="9" t="n">
        <v>143329.03</v>
      </c>
      <c r="N27" s="9" t="n">
        <v>4020677.02</v>
      </c>
      <c r="O27" s="9" t="n">
        <v>759056.8199999999</v>
      </c>
      <c r="P27" s="9" t="n">
        <v>142327.14</v>
      </c>
      <c r="Q27" s="9">
        <f>O27-P27</f>
        <v/>
      </c>
      <c r="R27" s="3">
        <f>IFERROR(VLOOKUP(F27,'Currency to EUR'!$A$2:$B$9,2,FALSE),NA())</f>
        <v/>
      </c>
      <c r="S27" s="9">
        <f>I27*R27</f>
        <v/>
      </c>
      <c r="T27" s="9">
        <f>J27*R27</f>
        <v/>
      </c>
      <c r="U27" s="9">
        <f>K27*R27</f>
        <v/>
      </c>
      <c r="V27" s="9">
        <f>L27*R27</f>
        <v/>
      </c>
      <c r="W27" s="9">
        <f>M27*R27</f>
        <v/>
      </c>
      <c r="X27" s="9">
        <f>N27*R27</f>
        <v/>
      </c>
      <c r="Y27" s="9">
        <f>O27*R27</f>
        <v/>
      </c>
      <c r="Z27" s="9">
        <f>P27*R27</f>
        <v/>
      </c>
      <c r="AA27" s="9">
        <f>Y27-Z27</f>
        <v/>
      </c>
      <c r="AB27" s="10">
        <f>IFERROR(S27/W27,0)</f>
        <v/>
      </c>
    </row>
    <row r="28">
      <c r="A28" s="2" t="n">
        <v>60007</v>
      </c>
      <c r="B28" s="2" t="inlineStr">
        <is>
          <t>TAN Wei Ming</t>
        </is>
      </c>
      <c r="C28" s="2" t="inlineStr">
        <is>
          <t>Manager</t>
        </is>
      </c>
      <c r="D28" s="2" t="inlineStr">
        <is>
          <t>In</t>
        </is>
      </c>
      <c r="E28" s="2" t="inlineStr">
        <is>
          <t>Singapore</t>
        </is>
      </c>
      <c r="F28" s="2" t="inlineStr">
        <is>
          <t>SGD</t>
        </is>
      </c>
      <c r="G28" s="8" t="n">
        <v>46023</v>
      </c>
      <c r="H28" s="8" t="n">
        <v>46387</v>
      </c>
      <c r="I28" s="9" t="n">
        <v>13242.24</v>
      </c>
      <c r="J28" s="9" t="n">
        <v>13639.51</v>
      </c>
      <c r="K28" s="9" t="n">
        <v>-397.27</v>
      </c>
      <c r="L28" s="9" t="n">
        <v>43033.08</v>
      </c>
      <c r="M28" s="9" t="n">
        <v>14344.36</v>
      </c>
      <c r="N28" s="9" t="n">
        <v>154934.41</v>
      </c>
      <c r="O28" s="9" t="n">
        <v>25390.63</v>
      </c>
      <c r="P28" s="9" t="n">
        <v>1556.14</v>
      </c>
      <c r="Q28" s="9">
        <f>O28-P28</f>
        <v/>
      </c>
      <c r="R28" s="3">
        <f>IFERROR(VLOOKUP(F28,'Currency to EUR'!$A$2:$B$9,2,FALSE),NA())</f>
        <v/>
      </c>
      <c r="S28" s="9">
        <f>I28*R28</f>
        <v/>
      </c>
      <c r="T28" s="9">
        <f>J28*R28</f>
        <v/>
      </c>
      <c r="U28" s="9">
        <f>K28*R28</f>
        <v/>
      </c>
      <c r="V28" s="9">
        <f>L28*R28</f>
        <v/>
      </c>
      <c r="W28" s="9">
        <f>M28*R28</f>
        <v/>
      </c>
      <c r="X28" s="9">
        <f>N28*R28</f>
        <v/>
      </c>
      <c r="Y28" s="9">
        <f>O28*R28</f>
        <v/>
      </c>
      <c r="Z28" s="9">
        <f>P28*R28</f>
        <v/>
      </c>
      <c r="AA28" s="9">
        <f>Y28-Z28</f>
        <v/>
      </c>
      <c r="AB28" s="10">
        <f>IFERROR(S28/W28,0)</f>
        <v/>
      </c>
    </row>
    <row r="29">
      <c r="A29" s="2" t="n">
        <v>60008</v>
      </c>
      <c r="B29" s="2" t="inlineStr">
        <is>
          <t>LIM Jia Hui</t>
        </is>
      </c>
      <c r="C29" s="2" t="inlineStr">
        <is>
          <t>Manager</t>
        </is>
      </c>
      <c r="D29" s="2" t="inlineStr">
        <is>
          <t>In</t>
        </is>
      </c>
      <c r="E29" s="2" t="inlineStr">
        <is>
          <t>Singapore</t>
        </is>
      </c>
      <c r="F29" s="2" t="inlineStr">
        <is>
          <t>SGD</t>
        </is>
      </c>
      <c r="G29" s="8" t="n">
        <v>46023</v>
      </c>
      <c r="H29" s="8" t="n">
        <v>46387</v>
      </c>
      <c r="I29" s="9" t="n">
        <v>12792.33</v>
      </c>
      <c r="J29" s="9" t="n">
        <v>9239.92</v>
      </c>
      <c r="K29" s="9" t="n">
        <v>3552.41</v>
      </c>
      <c r="L29" s="9" t="n">
        <v>42575.46</v>
      </c>
      <c r="M29" s="9" t="n">
        <v>14191.82</v>
      </c>
      <c r="N29" s="9" t="n">
        <v>166533.78</v>
      </c>
      <c r="O29" s="9" t="n">
        <v>25801.92</v>
      </c>
      <c r="P29" s="9" t="n">
        <v>18304.33</v>
      </c>
      <c r="Q29" s="9">
        <f>O29-P29</f>
        <v/>
      </c>
      <c r="R29" s="3">
        <f>IFERROR(VLOOKUP(F29,'Currency to EUR'!$A$2:$B$9,2,FALSE),NA())</f>
        <v/>
      </c>
      <c r="S29" s="9">
        <f>I29*R29</f>
        <v/>
      </c>
      <c r="T29" s="9">
        <f>J29*R29</f>
        <v/>
      </c>
      <c r="U29" s="9">
        <f>K29*R29</f>
        <v/>
      </c>
      <c r="V29" s="9">
        <f>L29*R29</f>
        <v/>
      </c>
      <c r="W29" s="9">
        <f>M29*R29</f>
        <v/>
      </c>
      <c r="X29" s="9">
        <f>N29*R29</f>
        <v/>
      </c>
      <c r="Y29" s="9">
        <f>O29*R29</f>
        <v/>
      </c>
      <c r="Z29" s="9">
        <f>P29*R29</f>
        <v/>
      </c>
      <c r="AA29" s="9">
        <f>Y29-Z29</f>
        <v/>
      </c>
      <c r="AB29" s="10">
        <f>IFERROR(S29/W29,0)</f>
        <v/>
      </c>
    </row>
    <row r="30">
      <c r="A30" s="2" t="n">
        <v>60009</v>
      </c>
      <c r="B30" s="2" t="inlineStr">
        <is>
          <t>LEE Daniel</t>
        </is>
      </c>
      <c r="C30" s="2" t="inlineStr">
        <is>
          <t>Experienced manager</t>
        </is>
      </c>
      <c r="D30" s="2" t="inlineStr">
        <is>
          <t>In</t>
        </is>
      </c>
      <c r="E30" s="2" t="inlineStr">
        <is>
          <t>Singapore</t>
        </is>
      </c>
      <c r="F30" s="2" t="inlineStr">
        <is>
          <t>SGD</t>
        </is>
      </c>
      <c r="G30" s="8" t="n">
        <v>46023</v>
      </c>
      <c r="H30" s="8" t="n">
        <v>46387</v>
      </c>
      <c r="I30" s="9" t="n">
        <v>16883.38</v>
      </c>
      <c r="J30" s="9" t="n">
        <v>13924.21</v>
      </c>
      <c r="K30" s="9" t="n">
        <v>2959.17</v>
      </c>
      <c r="L30" s="9" t="n">
        <v>53743.54</v>
      </c>
      <c r="M30" s="9" t="n">
        <v>17914.51</v>
      </c>
      <c r="N30" s="9" t="n">
        <v>79417.38</v>
      </c>
      <c r="O30" s="9" t="n">
        <v>12677.07</v>
      </c>
      <c r="P30" s="9" t="n">
        <v>287.79</v>
      </c>
      <c r="Q30" s="9">
        <f>O30-P30</f>
        <v/>
      </c>
      <c r="R30" s="3">
        <f>IFERROR(VLOOKUP(F30,'Currency to EUR'!$A$2:$B$9,2,FALSE),NA())</f>
        <v/>
      </c>
      <c r="S30" s="9">
        <f>I30*R30</f>
        <v/>
      </c>
      <c r="T30" s="9">
        <f>J30*R30</f>
        <v/>
      </c>
      <c r="U30" s="9">
        <f>K30*R30</f>
        <v/>
      </c>
      <c r="V30" s="9">
        <f>L30*R30</f>
        <v/>
      </c>
      <c r="W30" s="9">
        <f>M30*R30</f>
        <v/>
      </c>
      <c r="X30" s="9">
        <f>N30*R30</f>
        <v/>
      </c>
      <c r="Y30" s="9">
        <f>O30*R30</f>
        <v/>
      </c>
      <c r="Z30" s="9">
        <f>P30*R30</f>
        <v/>
      </c>
      <c r="AA30" s="9">
        <f>Y30-Z30</f>
        <v/>
      </c>
      <c r="AB30" s="10">
        <f>IFERROR(S30/W30,0)</f>
        <v/>
      </c>
    </row>
    <row r="31">
      <c r="A31" s="2" t="n">
        <v>60130</v>
      </c>
      <c r="B31" s="2" t="inlineStr">
        <is>
          <t>ONG Wei</t>
        </is>
      </c>
      <c r="C31" s="2" t="inlineStr">
        <is>
          <t>Manager</t>
        </is>
      </c>
      <c r="D31" s="2" t="inlineStr">
        <is>
          <t>In</t>
        </is>
      </c>
      <c r="E31" s="2" t="inlineStr">
        <is>
          <t>Singapore</t>
        </is>
      </c>
      <c r="F31" s="2" t="inlineStr">
        <is>
          <t>SGD</t>
        </is>
      </c>
      <c r="G31" s="8" t="n">
        <v>46023</v>
      </c>
      <c r="H31" s="8" t="n">
        <v>46387</v>
      </c>
      <c r="I31" s="9" t="n">
        <v>12255.03</v>
      </c>
      <c r="J31" s="9" t="n">
        <v>12622.68</v>
      </c>
      <c r="K31" s="9" t="n">
        <v>-367.65</v>
      </c>
      <c r="L31" s="9" t="n">
        <v>44184.88</v>
      </c>
      <c r="M31" s="9" t="n">
        <v>14728.29</v>
      </c>
      <c r="N31" s="9" t="n">
        <v>144263.34</v>
      </c>
      <c r="O31" s="9" t="n">
        <v>23641.84</v>
      </c>
      <c r="P31" s="9" t="n">
        <v>1149.3</v>
      </c>
      <c r="Q31" s="9">
        <f>O31-P31</f>
        <v/>
      </c>
      <c r="R31" s="3">
        <f>IFERROR(VLOOKUP(F31,'Currency to EUR'!$A$2:$B$9,2,FALSE),NA())</f>
        <v/>
      </c>
      <c r="S31" s="9">
        <f>I31*R31</f>
        <v/>
      </c>
      <c r="T31" s="9">
        <f>J31*R31</f>
        <v/>
      </c>
      <c r="U31" s="9">
        <f>K31*R31</f>
        <v/>
      </c>
      <c r="V31" s="9">
        <f>L31*R31</f>
        <v/>
      </c>
      <c r="W31" s="9">
        <f>M31*R31</f>
        <v/>
      </c>
      <c r="X31" s="9">
        <f>N31*R31</f>
        <v/>
      </c>
      <c r="Y31" s="9">
        <f>O31*R31</f>
        <v/>
      </c>
      <c r="Z31" s="9">
        <f>P31*R31</f>
        <v/>
      </c>
      <c r="AA31" s="9">
        <f>Y31-Z31</f>
        <v/>
      </c>
      <c r="AB31" s="10">
        <f>IFERROR(S31/W31,0)</f>
        <v/>
      </c>
    </row>
    <row r="32">
      <c r="A32" s="2" t="n">
        <v>60131</v>
      </c>
      <c r="B32" s="2" t="inlineStr">
        <is>
          <t>KOH Mei</t>
        </is>
      </c>
      <c r="C32" s="2" t="inlineStr">
        <is>
          <t>Manager</t>
        </is>
      </c>
      <c r="D32" s="2" t="inlineStr">
        <is>
          <t>In</t>
        </is>
      </c>
      <c r="E32" s="2" t="inlineStr">
        <is>
          <t>Singapore</t>
        </is>
      </c>
      <c r="F32" s="2" t="inlineStr">
        <is>
          <t>SGD</t>
        </is>
      </c>
      <c r="G32" s="8" t="n">
        <v>46023</v>
      </c>
      <c r="H32" s="8" t="n">
        <v>46387</v>
      </c>
      <c r="I32" s="9" t="n">
        <v>13742.79</v>
      </c>
      <c r="J32" s="9" t="n">
        <v>14155.08</v>
      </c>
      <c r="K32" s="9" t="n">
        <v>-412.29</v>
      </c>
      <c r="L32" s="9" t="n">
        <v>43406.16</v>
      </c>
      <c r="M32" s="9" t="n">
        <v>14468.72</v>
      </c>
      <c r="N32" s="9" t="n">
        <v>153022.15</v>
      </c>
      <c r="O32" s="9" t="n">
        <v>23708.51</v>
      </c>
      <c r="P32" s="9" t="n">
        <v>10215.55</v>
      </c>
      <c r="Q32" s="9">
        <f>O32-P32</f>
        <v/>
      </c>
      <c r="R32" s="3">
        <f>IFERROR(VLOOKUP(F32,'Currency to EUR'!$A$2:$B$9,2,FALSE),NA())</f>
        <v/>
      </c>
      <c r="S32" s="9">
        <f>I32*R32</f>
        <v/>
      </c>
      <c r="T32" s="9">
        <f>J32*R32</f>
        <v/>
      </c>
      <c r="U32" s="9">
        <f>K32*R32</f>
        <v/>
      </c>
      <c r="V32" s="9">
        <f>L32*R32</f>
        <v/>
      </c>
      <c r="W32" s="9">
        <f>M32*R32</f>
        <v/>
      </c>
      <c r="X32" s="9">
        <f>N32*R32</f>
        <v/>
      </c>
      <c r="Y32" s="9">
        <f>O32*R32</f>
        <v/>
      </c>
      <c r="Z32" s="9">
        <f>P32*R32</f>
        <v/>
      </c>
      <c r="AA32" s="9">
        <f>Y32-Z32</f>
        <v/>
      </c>
      <c r="AB32" s="10">
        <f>IFERROR(S32/W32,0)</f>
        <v/>
      </c>
    </row>
    <row r="33">
      <c r="A33" s="2" t="n">
        <v>60132</v>
      </c>
      <c r="B33" s="2" t="inlineStr">
        <is>
          <t>GOH Adrian</t>
        </is>
      </c>
      <c r="C33" s="2" t="inlineStr">
        <is>
          <t>Manager</t>
        </is>
      </c>
      <c r="D33" s="2" t="inlineStr">
        <is>
          <t>In</t>
        </is>
      </c>
      <c r="E33" s="2" t="inlineStr">
        <is>
          <t>Singapore</t>
        </is>
      </c>
      <c r="F33" s="2" t="inlineStr">
        <is>
          <t>SGD</t>
        </is>
      </c>
      <c r="G33" s="8" t="n">
        <v>46023</v>
      </c>
      <c r="H33" s="8" t="n">
        <v>46387</v>
      </c>
      <c r="I33" s="9" t="n">
        <v>12860.59</v>
      </c>
      <c r="J33" s="9" t="n">
        <v>13246.41</v>
      </c>
      <c r="K33" s="9" t="n">
        <v>-385.82</v>
      </c>
      <c r="L33" s="9" t="n">
        <v>44069.11</v>
      </c>
      <c r="M33" s="9" t="n">
        <v>14689.7</v>
      </c>
      <c r="N33" s="9" t="n">
        <v>85426.66</v>
      </c>
      <c r="O33" s="9" t="n">
        <v>13636.26</v>
      </c>
      <c r="P33" s="9" t="n">
        <v>345.29</v>
      </c>
      <c r="Q33" s="9">
        <f>O33-P33</f>
        <v/>
      </c>
      <c r="R33" s="3">
        <f>IFERROR(VLOOKUP(F33,'Currency to EUR'!$A$2:$B$9,2,FALSE),NA())</f>
        <v/>
      </c>
      <c r="S33" s="9">
        <f>I33*R33</f>
        <v/>
      </c>
      <c r="T33" s="9">
        <f>J33*R33</f>
        <v/>
      </c>
      <c r="U33" s="9">
        <f>K33*R33</f>
        <v/>
      </c>
      <c r="V33" s="9">
        <f>L33*R33</f>
        <v/>
      </c>
      <c r="W33" s="9">
        <f>M33*R33</f>
        <v/>
      </c>
      <c r="X33" s="9">
        <f>N33*R33</f>
        <v/>
      </c>
      <c r="Y33" s="9">
        <f>O33*R33</f>
        <v/>
      </c>
      <c r="Z33" s="9">
        <f>P33*R33</f>
        <v/>
      </c>
      <c r="AA33" s="9">
        <f>Y33-Z33</f>
        <v/>
      </c>
      <c r="AB33" s="10">
        <f>IFERROR(S33/W33,0)</f>
        <v/>
      </c>
    </row>
    <row r="34">
      <c r="A34" s="2" t="n">
        <v>60133</v>
      </c>
      <c r="B34" s="2" t="inlineStr">
        <is>
          <t>CHUA Rachel</t>
        </is>
      </c>
      <c r="C34" s="2" t="inlineStr">
        <is>
          <t>Manager</t>
        </is>
      </c>
      <c r="D34" s="2" t="inlineStr">
        <is>
          <t>In</t>
        </is>
      </c>
      <c r="E34" s="2" t="inlineStr">
        <is>
          <t>Singapore</t>
        </is>
      </c>
      <c r="F34" s="2" t="inlineStr">
        <is>
          <t>SGD</t>
        </is>
      </c>
      <c r="G34" s="8" t="n">
        <v>46023</v>
      </c>
      <c r="H34" s="8" t="n">
        <v>46387</v>
      </c>
      <c r="I34" s="9" t="n">
        <v>12442.9</v>
      </c>
      <c r="J34" s="9" t="n">
        <v>8987.52</v>
      </c>
      <c r="K34" s="9" t="n">
        <v>3455.37</v>
      </c>
      <c r="L34" s="9" t="n">
        <v>41854.08</v>
      </c>
      <c r="M34" s="9" t="n">
        <v>13951.36</v>
      </c>
      <c r="N34" s="9" t="n">
        <v>140279.77</v>
      </c>
      <c r="O34" s="9" t="n">
        <v>22989.05</v>
      </c>
      <c r="P34" s="9" t="n">
        <v>2079.8</v>
      </c>
      <c r="Q34" s="9">
        <f>O34-P34</f>
        <v/>
      </c>
      <c r="R34" s="3">
        <f>IFERROR(VLOOKUP(F34,'Currency to EUR'!$A$2:$B$9,2,FALSE),NA())</f>
        <v/>
      </c>
      <c r="S34" s="9">
        <f>I34*R34</f>
        <v/>
      </c>
      <c r="T34" s="9">
        <f>J34*R34</f>
        <v/>
      </c>
      <c r="U34" s="9">
        <f>K34*R34</f>
        <v/>
      </c>
      <c r="V34" s="9">
        <f>L34*R34</f>
        <v/>
      </c>
      <c r="W34" s="9">
        <f>M34*R34</f>
        <v/>
      </c>
      <c r="X34" s="9">
        <f>N34*R34</f>
        <v/>
      </c>
      <c r="Y34" s="9">
        <f>O34*R34</f>
        <v/>
      </c>
      <c r="Z34" s="9">
        <f>P34*R34</f>
        <v/>
      </c>
      <c r="AA34" s="9">
        <f>Y34-Z34</f>
        <v/>
      </c>
      <c r="AB34" s="10">
        <f>IFERROR(S34/W34,0)</f>
        <v/>
      </c>
    </row>
    <row r="35">
      <c r="A35" s="2" t="n">
        <v>60134</v>
      </c>
      <c r="B35" s="2" t="inlineStr">
        <is>
          <t>YEO Kai</t>
        </is>
      </c>
      <c r="C35" s="2" t="inlineStr">
        <is>
          <t>Experienced manager</t>
        </is>
      </c>
      <c r="D35" s="2" t="inlineStr">
        <is>
          <t>In</t>
        </is>
      </c>
      <c r="E35" s="2" t="inlineStr">
        <is>
          <t>Singapore</t>
        </is>
      </c>
      <c r="F35" s="2" t="inlineStr">
        <is>
          <t>SGD</t>
        </is>
      </c>
      <c r="G35" s="8" t="n">
        <v>46023</v>
      </c>
      <c r="H35" s="8" t="n">
        <v>46387</v>
      </c>
      <c r="I35" s="9" t="n">
        <v>16355.51</v>
      </c>
      <c r="J35" s="9" t="n">
        <v>13488.86</v>
      </c>
      <c r="K35" s="9" t="n">
        <v>2866.65</v>
      </c>
      <c r="L35" s="9" t="n">
        <v>57566.23</v>
      </c>
      <c r="M35" s="9" t="n">
        <v>19188.74</v>
      </c>
      <c r="N35" s="9" t="n">
        <v>147392.74</v>
      </c>
      <c r="O35" s="9" t="n">
        <v>22836.29</v>
      </c>
      <c r="P35" s="9" t="n">
        <v>9230.1</v>
      </c>
      <c r="Q35" s="9">
        <f>O35-P35</f>
        <v/>
      </c>
      <c r="R35" s="3">
        <f>IFERROR(VLOOKUP(F35,'Currency to EUR'!$A$2:$B$9,2,FALSE),NA())</f>
        <v/>
      </c>
      <c r="S35" s="9">
        <f>I35*R35</f>
        <v/>
      </c>
      <c r="T35" s="9">
        <f>J35*R35</f>
        <v/>
      </c>
      <c r="U35" s="9">
        <f>K35*R35</f>
        <v/>
      </c>
      <c r="V35" s="9">
        <f>L35*R35</f>
        <v/>
      </c>
      <c r="W35" s="9">
        <f>M35*R35</f>
        <v/>
      </c>
      <c r="X35" s="9">
        <f>N35*R35</f>
        <v/>
      </c>
      <c r="Y35" s="9">
        <f>O35*R35</f>
        <v/>
      </c>
      <c r="Z35" s="9">
        <f>P35*R35</f>
        <v/>
      </c>
      <c r="AA35" s="9">
        <f>Y35-Z35</f>
        <v/>
      </c>
      <c r="AB35" s="10">
        <f>IFERROR(S35/W35,0)</f>
        <v/>
      </c>
    </row>
    <row r="36">
      <c r="A36" s="2" t="n">
        <v>60135</v>
      </c>
      <c r="B36" s="2" t="inlineStr">
        <is>
          <t>QUEK Jia</t>
        </is>
      </c>
      <c r="C36" s="2" t="inlineStr">
        <is>
          <t>Manager</t>
        </is>
      </c>
      <c r="D36" s="2" t="inlineStr">
        <is>
          <t>In</t>
        </is>
      </c>
      <c r="E36" s="2" t="inlineStr">
        <is>
          <t>Singapore</t>
        </is>
      </c>
      <c r="F36" s="2" t="inlineStr">
        <is>
          <t>SGD</t>
        </is>
      </c>
      <c r="G36" s="8" t="n">
        <v>46023</v>
      </c>
      <c r="H36" s="8" t="n">
        <v>46387</v>
      </c>
      <c r="I36" s="9" t="n">
        <v>13266.02</v>
      </c>
      <c r="J36" s="9" t="n">
        <v>9582.07</v>
      </c>
      <c r="K36" s="9" t="n">
        <v>3683.95</v>
      </c>
      <c r="L36" s="9" t="n">
        <v>42610.28</v>
      </c>
      <c r="M36" s="9" t="n">
        <v>14203.43</v>
      </c>
      <c r="N36" s="9" t="n">
        <v>74086.00999999999</v>
      </c>
      <c r="O36" s="9" t="n">
        <v>11826.1</v>
      </c>
      <c r="P36" s="9" t="n">
        <v>343.23</v>
      </c>
      <c r="Q36" s="9">
        <f>O36-P36</f>
        <v/>
      </c>
      <c r="R36" s="3">
        <f>IFERROR(VLOOKUP(F36,'Currency to EUR'!$A$2:$B$9,2,FALSE),NA())</f>
        <v/>
      </c>
      <c r="S36" s="9">
        <f>I36*R36</f>
        <v/>
      </c>
      <c r="T36" s="9">
        <f>J36*R36</f>
        <v/>
      </c>
      <c r="U36" s="9">
        <f>K36*R36</f>
        <v/>
      </c>
      <c r="V36" s="9">
        <f>L36*R36</f>
        <v/>
      </c>
      <c r="W36" s="9">
        <f>M36*R36</f>
        <v/>
      </c>
      <c r="X36" s="9">
        <f>N36*R36</f>
        <v/>
      </c>
      <c r="Y36" s="9">
        <f>O36*R36</f>
        <v/>
      </c>
      <c r="Z36" s="9">
        <f>P36*R36</f>
        <v/>
      </c>
      <c r="AA36" s="9">
        <f>Y36-Z36</f>
        <v/>
      </c>
      <c r="AB36" s="10">
        <f>IFERROR(S36/W36,0)</f>
        <v/>
      </c>
    </row>
    <row r="37">
      <c r="A37" s="2" t="n">
        <v>60136</v>
      </c>
      <c r="B37" s="2" t="inlineStr">
        <is>
          <t>HO Wen</t>
        </is>
      </c>
      <c r="C37" s="2" t="inlineStr">
        <is>
          <t>Manager</t>
        </is>
      </c>
      <c r="D37" s="2" t="inlineStr">
        <is>
          <t>In</t>
        </is>
      </c>
      <c r="E37" s="2" t="inlineStr">
        <is>
          <t>Singapore</t>
        </is>
      </c>
      <c r="F37" s="2" t="inlineStr">
        <is>
          <t>SGD</t>
        </is>
      </c>
      <c r="G37" s="8" t="n">
        <v>46023</v>
      </c>
      <c r="H37" s="8" t="n">
        <v>46387</v>
      </c>
      <c r="I37" s="9" t="n">
        <v>12177.33</v>
      </c>
      <c r="J37" s="9" t="n">
        <v>8795.700000000001</v>
      </c>
      <c r="K37" s="9" t="n">
        <v>3381.62</v>
      </c>
      <c r="L37" s="9" t="n">
        <v>42487.27</v>
      </c>
      <c r="M37" s="9" t="n">
        <v>14162.42</v>
      </c>
      <c r="N37" s="9" t="n">
        <v>144815.62</v>
      </c>
      <c r="O37" s="9" t="n">
        <v>23732.36</v>
      </c>
      <c r="P37" s="9" t="n">
        <v>7578.95</v>
      </c>
      <c r="Q37" s="9">
        <f>O37-P37</f>
        <v/>
      </c>
      <c r="R37" s="3">
        <f>IFERROR(VLOOKUP(F37,'Currency to EUR'!$A$2:$B$9,2,FALSE),NA())</f>
        <v/>
      </c>
      <c r="S37" s="9">
        <f>I37*R37</f>
        <v/>
      </c>
      <c r="T37" s="9">
        <f>J37*R37</f>
        <v/>
      </c>
      <c r="U37" s="9">
        <f>K37*R37</f>
        <v/>
      </c>
      <c r="V37" s="9">
        <f>L37*R37</f>
        <v/>
      </c>
      <c r="W37" s="9">
        <f>M37*R37</f>
        <v/>
      </c>
      <c r="X37" s="9">
        <f>N37*R37</f>
        <v/>
      </c>
      <c r="Y37" s="9">
        <f>O37*R37</f>
        <v/>
      </c>
      <c r="Z37" s="9">
        <f>P37*R37</f>
        <v/>
      </c>
      <c r="AA37" s="9">
        <f>Y37-Z37</f>
        <v/>
      </c>
      <c r="AB37" s="10">
        <f>IFERROR(S37/W37,0)</f>
        <v/>
      </c>
    </row>
    <row r="38">
      <c r="A38" s="2" t="n">
        <v>60137</v>
      </c>
      <c r="B38" s="2" t="inlineStr">
        <is>
          <t>SEAH Marcus</t>
        </is>
      </c>
      <c r="C38" s="2" t="inlineStr">
        <is>
          <t>Manager</t>
        </is>
      </c>
      <c r="D38" s="2" t="inlineStr">
        <is>
          <t>In</t>
        </is>
      </c>
      <c r="E38" s="2" t="inlineStr">
        <is>
          <t>Singapore</t>
        </is>
      </c>
      <c r="F38" s="2" t="inlineStr">
        <is>
          <t>SGD</t>
        </is>
      </c>
      <c r="G38" s="8" t="n">
        <v>46023</v>
      </c>
      <c r="H38" s="8" t="n">
        <v>46387</v>
      </c>
      <c r="I38" s="9" t="n">
        <v>12840.68</v>
      </c>
      <c r="J38" s="9" t="n">
        <v>9274.84</v>
      </c>
      <c r="K38" s="9" t="n">
        <v>3565.84</v>
      </c>
      <c r="L38" s="9" t="n">
        <v>44022.28</v>
      </c>
      <c r="M38" s="9" t="n">
        <v>14674.09</v>
      </c>
      <c r="N38" s="9" t="n">
        <v>151103.18</v>
      </c>
      <c r="O38" s="9" t="n">
        <v>23411.19</v>
      </c>
      <c r="P38" s="9" t="n">
        <v>9103.23</v>
      </c>
      <c r="Q38" s="9">
        <f>O38-P38</f>
        <v/>
      </c>
      <c r="R38" s="3">
        <f>IFERROR(VLOOKUP(F38,'Currency to EUR'!$A$2:$B$9,2,FALSE),NA())</f>
        <v/>
      </c>
      <c r="S38" s="9">
        <f>I38*R38</f>
        <v/>
      </c>
      <c r="T38" s="9">
        <f>J38*R38</f>
        <v/>
      </c>
      <c r="U38" s="9">
        <f>K38*R38</f>
        <v/>
      </c>
      <c r="V38" s="9">
        <f>L38*R38</f>
        <v/>
      </c>
      <c r="W38" s="9">
        <f>M38*R38</f>
        <v/>
      </c>
      <c r="X38" s="9">
        <f>N38*R38</f>
        <v/>
      </c>
      <c r="Y38" s="9">
        <f>O38*R38</f>
        <v/>
      </c>
      <c r="Z38" s="9">
        <f>P38*R38</f>
        <v/>
      </c>
      <c r="AA38" s="9">
        <f>Y38-Z38</f>
        <v/>
      </c>
      <c r="AB38" s="10">
        <f>IFERROR(S38/W38,0)</f>
        <v/>
      </c>
    </row>
    <row r="39">
      <c r="A39" s="2" t="n">
        <v>60138</v>
      </c>
      <c r="B39" s="2" t="inlineStr">
        <is>
          <t>TEOH Sarah</t>
        </is>
      </c>
      <c r="C39" s="2" t="inlineStr">
        <is>
          <t>Manager</t>
        </is>
      </c>
      <c r="D39" s="2" t="inlineStr">
        <is>
          <t>In</t>
        </is>
      </c>
      <c r="E39" s="2" t="inlineStr">
        <is>
          <t>Singapore</t>
        </is>
      </c>
      <c r="F39" s="2" t="inlineStr">
        <is>
          <t>SGD</t>
        </is>
      </c>
      <c r="G39" s="8" t="n">
        <v>46023</v>
      </c>
      <c r="H39" s="8" t="n">
        <v>46387</v>
      </c>
      <c r="I39" s="9" t="n">
        <v>13075.16</v>
      </c>
      <c r="J39" s="9" t="n">
        <v>9444.209999999999</v>
      </c>
      <c r="K39" s="9" t="n">
        <v>3630.95</v>
      </c>
      <c r="L39" s="9" t="n">
        <v>44699.49</v>
      </c>
      <c r="M39" s="9" t="n">
        <v>14899.83</v>
      </c>
      <c r="N39" s="9" t="n">
        <v>80972.81</v>
      </c>
      <c r="O39" s="9" t="n">
        <v>12925.31</v>
      </c>
      <c r="P39" s="9" t="n">
        <v>886.5</v>
      </c>
      <c r="Q39" s="9">
        <f>O39-P39</f>
        <v/>
      </c>
      <c r="R39" s="3">
        <f>IFERROR(VLOOKUP(F39,'Currency to EUR'!$A$2:$B$9,2,FALSE),NA())</f>
        <v/>
      </c>
      <c r="S39" s="9">
        <f>I39*R39</f>
        <v/>
      </c>
      <c r="T39" s="9">
        <f>J39*R39</f>
        <v/>
      </c>
      <c r="U39" s="9">
        <f>K39*R39</f>
        <v/>
      </c>
      <c r="V39" s="9">
        <f>L39*R39</f>
        <v/>
      </c>
      <c r="W39" s="9">
        <f>M39*R39</f>
        <v/>
      </c>
      <c r="X39" s="9">
        <f>N39*R39</f>
        <v/>
      </c>
      <c r="Y39" s="9">
        <f>O39*R39</f>
        <v/>
      </c>
      <c r="Z39" s="9">
        <f>P39*R39</f>
        <v/>
      </c>
      <c r="AA39" s="9">
        <f>Y39-Z39</f>
        <v/>
      </c>
      <c r="AB39" s="10">
        <f>IFERROR(S39/W39,0)</f>
        <v/>
      </c>
    </row>
    <row r="40">
      <c r="A40" s="2" t="n">
        <v>60010</v>
      </c>
      <c r="B40" s="2" t="inlineStr">
        <is>
          <t>ROSSI Andrea</t>
        </is>
      </c>
      <c r="C40" s="2" t="inlineStr">
        <is>
          <t>Experienced manager</t>
        </is>
      </c>
      <c r="D40" s="2" t="inlineStr">
        <is>
          <t>In</t>
        </is>
      </c>
      <c r="E40" s="2" t="inlineStr">
        <is>
          <t>Italy</t>
        </is>
      </c>
      <c r="F40" s="2" t="inlineStr">
        <is>
          <t>EUR</t>
        </is>
      </c>
      <c r="G40" s="8" t="n">
        <v>46023</v>
      </c>
      <c r="H40" s="8" t="n">
        <v>46387</v>
      </c>
      <c r="I40" s="9" t="n">
        <v>10583.99</v>
      </c>
      <c r="J40" s="9" t="n">
        <v>10901.51</v>
      </c>
      <c r="K40" s="9" t="n">
        <v>-317.52</v>
      </c>
      <c r="L40" s="9" t="n">
        <v>37093.16</v>
      </c>
      <c r="M40" s="9" t="n">
        <v>12364.39</v>
      </c>
      <c r="N40" s="9" t="n">
        <v>65701.05</v>
      </c>
      <c r="O40" s="9" t="n">
        <v>10767.55</v>
      </c>
      <c r="P40" s="9" t="n">
        <v>129.01</v>
      </c>
      <c r="Q40" s="9">
        <f>O40-P40</f>
        <v/>
      </c>
      <c r="R40" s="3">
        <f>IFERROR(VLOOKUP(F40,'Currency to EUR'!$A$2:$B$9,2,FALSE),NA())</f>
        <v/>
      </c>
      <c r="S40" s="9">
        <f>I40*R40</f>
        <v/>
      </c>
      <c r="T40" s="9">
        <f>J40*R40</f>
        <v/>
      </c>
      <c r="U40" s="9">
        <f>K40*R40</f>
        <v/>
      </c>
      <c r="V40" s="9">
        <f>L40*R40</f>
        <v/>
      </c>
      <c r="W40" s="9">
        <f>M40*R40</f>
        <v/>
      </c>
      <c r="X40" s="9">
        <f>N40*R40</f>
        <v/>
      </c>
      <c r="Y40" s="9">
        <f>O40*R40</f>
        <v/>
      </c>
      <c r="Z40" s="9">
        <f>P40*R40</f>
        <v/>
      </c>
      <c r="AA40" s="9">
        <f>Y40-Z40</f>
        <v/>
      </c>
      <c r="AB40" s="10">
        <f>IFERROR(S40/W40,0)</f>
        <v/>
      </c>
    </row>
    <row r="41">
      <c r="A41" s="2" t="n">
        <v>60011</v>
      </c>
      <c r="B41" s="2" t="inlineStr">
        <is>
          <t>FERRARI Giulia</t>
        </is>
      </c>
      <c r="C41" s="2" t="inlineStr">
        <is>
          <t>Manager</t>
        </is>
      </c>
      <c r="D41" s="2" t="inlineStr">
        <is>
          <t>In</t>
        </is>
      </c>
      <c r="E41" s="2" t="inlineStr">
        <is>
          <t>Italy</t>
        </is>
      </c>
      <c r="F41" s="2" t="inlineStr">
        <is>
          <t>EUR</t>
        </is>
      </c>
      <c r="G41" s="8" t="n">
        <v>46023</v>
      </c>
      <c r="H41" s="8" t="n">
        <v>46387</v>
      </c>
      <c r="I41" s="9" t="n">
        <v>9419.67</v>
      </c>
      <c r="J41" s="9" t="n">
        <v>8062.73</v>
      </c>
      <c r="K41" s="9" t="n">
        <v>1356.94</v>
      </c>
      <c r="L41" s="9" t="n">
        <v>30845.25</v>
      </c>
      <c r="M41" s="9" t="n">
        <v>10281.75</v>
      </c>
      <c r="N41" s="9" t="n">
        <v>86523.89</v>
      </c>
      <c r="O41" s="9" t="n">
        <v>12694.58</v>
      </c>
      <c r="P41" s="9" t="n">
        <v>0</v>
      </c>
      <c r="Q41" s="9">
        <f>O41-P41</f>
        <v/>
      </c>
      <c r="R41" s="3">
        <f>IFERROR(VLOOKUP(F41,'Currency to EUR'!$A$2:$B$9,2,FALSE),NA())</f>
        <v/>
      </c>
      <c r="S41" s="9">
        <f>I41*R41</f>
        <v/>
      </c>
      <c r="T41" s="9">
        <f>J41*R41</f>
        <v/>
      </c>
      <c r="U41" s="9">
        <f>K41*R41</f>
        <v/>
      </c>
      <c r="V41" s="9">
        <f>L41*R41</f>
        <v/>
      </c>
      <c r="W41" s="9">
        <f>M41*R41</f>
        <v/>
      </c>
      <c r="X41" s="9">
        <f>N41*R41</f>
        <v/>
      </c>
      <c r="Y41" s="9">
        <f>O41*R41</f>
        <v/>
      </c>
      <c r="Z41" s="9">
        <f>P41*R41</f>
        <v/>
      </c>
      <c r="AA41" s="9">
        <f>Y41-Z41</f>
        <v/>
      </c>
      <c r="AB41" s="10">
        <f>IFERROR(S41/W41,0)</f>
        <v/>
      </c>
    </row>
    <row r="42">
      <c r="A42" s="2" t="n">
        <v>60141</v>
      </c>
      <c r="B42" s="2" t="inlineStr">
        <is>
          <t>BIANCHI Marco</t>
        </is>
      </c>
      <c r="C42" s="2" t="inlineStr">
        <is>
          <t>Manager</t>
        </is>
      </c>
      <c r="D42" s="2" t="inlineStr">
        <is>
          <t>In</t>
        </is>
      </c>
      <c r="E42" s="2" t="inlineStr">
        <is>
          <t>Italy</t>
        </is>
      </c>
      <c r="F42" s="2" t="inlineStr">
        <is>
          <t>EUR</t>
        </is>
      </c>
      <c r="G42" s="8" t="n">
        <v>46023</v>
      </c>
      <c r="H42" s="8" t="n">
        <v>46387</v>
      </c>
      <c r="I42" s="9" t="n">
        <v>9893.530000000001</v>
      </c>
      <c r="J42" s="9" t="n">
        <v>8468.33</v>
      </c>
      <c r="K42" s="9" t="n">
        <v>1425.2</v>
      </c>
      <c r="L42" s="9" t="n">
        <v>29362.92</v>
      </c>
      <c r="M42" s="9" t="n">
        <v>9787.639999999999</v>
      </c>
      <c r="N42" s="9" t="n">
        <v>70421.61</v>
      </c>
      <c r="O42" s="9" t="n">
        <v>11541.19</v>
      </c>
      <c r="P42" s="9" t="n">
        <v>140.64</v>
      </c>
      <c r="Q42" s="9">
        <f>O42-P42</f>
        <v/>
      </c>
      <c r="R42" s="3">
        <f>IFERROR(VLOOKUP(F42,'Currency to EUR'!$A$2:$B$9,2,FALSE),NA())</f>
        <v/>
      </c>
      <c r="S42" s="9">
        <f>I42*R42</f>
        <v/>
      </c>
      <c r="T42" s="9">
        <f>J42*R42</f>
        <v/>
      </c>
      <c r="U42" s="9">
        <f>K42*R42</f>
        <v/>
      </c>
      <c r="V42" s="9">
        <f>L42*R42</f>
        <v/>
      </c>
      <c r="W42" s="9">
        <f>M42*R42</f>
        <v/>
      </c>
      <c r="X42" s="9">
        <f>N42*R42</f>
        <v/>
      </c>
      <c r="Y42" s="9">
        <f>O42*R42</f>
        <v/>
      </c>
      <c r="Z42" s="9">
        <f>P42*R42</f>
        <v/>
      </c>
      <c r="AA42" s="9">
        <f>Y42-Z42</f>
        <v/>
      </c>
      <c r="AB42" s="10">
        <f>IFERROR(S42/W42,0)</f>
        <v/>
      </c>
    </row>
    <row r="43">
      <c r="A43" s="2" t="n">
        <v>60142</v>
      </c>
      <c r="B43" s="2" t="inlineStr">
        <is>
          <t>ROMANO Elena</t>
        </is>
      </c>
      <c r="C43" s="2" t="inlineStr">
        <is>
          <t>Experienced manager</t>
        </is>
      </c>
      <c r="D43" s="2" t="inlineStr">
        <is>
          <t>In</t>
        </is>
      </c>
      <c r="E43" s="2" t="inlineStr">
        <is>
          <t>Italy</t>
        </is>
      </c>
      <c r="F43" s="2" t="inlineStr">
        <is>
          <t>EUR</t>
        </is>
      </c>
      <c r="G43" s="8" t="n">
        <v>46023</v>
      </c>
      <c r="H43" s="8" t="n">
        <v>46387</v>
      </c>
      <c r="I43" s="9" t="n">
        <v>10158.75</v>
      </c>
      <c r="J43" s="9" t="n">
        <v>10463.52</v>
      </c>
      <c r="K43" s="9" t="n">
        <v>-304.76</v>
      </c>
      <c r="L43" s="9" t="n">
        <v>37580.37</v>
      </c>
      <c r="M43" s="9" t="n">
        <v>12526.79</v>
      </c>
      <c r="N43" s="9" t="n">
        <v>94925.32000000001</v>
      </c>
      <c r="O43" s="9" t="n">
        <v>13927.24</v>
      </c>
      <c r="P43" s="9" t="n">
        <v>1926.36</v>
      </c>
      <c r="Q43" s="9">
        <f>O43-P43</f>
        <v/>
      </c>
      <c r="R43" s="3">
        <f>IFERROR(VLOOKUP(F43,'Currency to EUR'!$A$2:$B$9,2,FALSE),NA())</f>
        <v/>
      </c>
      <c r="S43" s="9">
        <f>I43*R43</f>
        <v/>
      </c>
      <c r="T43" s="9">
        <f>J43*R43</f>
        <v/>
      </c>
      <c r="U43" s="9">
        <f>K43*R43</f>
        <v/>
      </c>
      <c r="V43" s="9">
        <f>L43*R43</f>
        <v/>
      </c>
      <c r="W43" s="9">
        <f>M43*R43</f>
        <v/>
      </c>
      <c r="X43" s="9">
        <f>N43*R43</f>
        <v/>
      </c>
      <c r="Y43" s="9">
        <f>O43*R43</f>
        <v/>
      </c>
      <c r="Z43" s="9">
        <f>P43*R43</f>
        <v/>
      </c>
      <c r="AA43" s="9">
        <f>Y43-Z43</f>
        <v/>
      </c>
      <c r="AB43" s="10">
        <f>IFERROR(S43/W43,0)</f>
        <v/>
      </c>
    </row>
    <row r="44">
      <c r="A44" s="2" t="n">
        <v>60143</v>
      </c>
      <c r="B44" s="2" t="inlineStr">
        <is>
          <t>CONTI Luca</t>
        </is>
      </c>
      <c r="C44" s="2" t="inlineStr">
        <is>
          <t>Manager</t>
        </is>
      </c>
      <c r="D44" s="2" t="inlineStr">
        <is>
          <t>In</t>
        </is>
      </c>
      <c r="E44" s="2" t="inlineStr">
        <is>
          <t>Italy</t>
        </is>
      </c>
      <c r="F44" s="2" t="inlineStr">
        <is>
          <t>EUR</t>
        </is>
      </c>
      <c r="G44" s="8" t="n">
        <v>46023</v>
      </c>
      <c r="H44" s="8" t="n">
        <v>46387</v>
      </c>
      <c r="I44" s="9" t="n">
        <v>9096.629999999999</v>
      </c>
      <c r="J44" s="9" t="n">
        <v>7786.23</v>
      </c>
      <c r="K44" s="9" t="n">
        <v>1310.41</v>
      </c>
      <c r="L44" s="9" t="n">
        <v>31104.7</v>
      </c>
      <c r="M44" s="9" t="n">
        <v>10368.23</v>
      </c>
      <c r="N44" s="9" t="n">
        <v>59183.28</v>
      </c>
      <c r="O44" s="9" t="n">
        <v>9699.389999999999</v>
      </c>
      <c r="P44" s="9" t="n">
        <v>86.01000000000001</v>
      </c>
      <c r="Q44" s="9">
        <f>O44-P44</f>
        <v/>
      </c>
      <c r="R44" s="3">
        <f>IFERROR(VLOOKUP(F44,'Currency to EUR'!$A$2:$B$9,2,FALSE),NA())</f>
        <v/>
      </c>
      <c r="S44" s="9">
        <f>I44*R44</f>
        <v/>
      </c>
      <c r="T44" s="9">
        <f>J44*R44</f>
        <v/>
      </c>
      <c r="U44" s="9">
        <f>K44*R44</f>
        <v/>
      </c>
      <c r="V44" s="9">
        <f>L44*R44</f>
        <v/>
      </c>
      <c r="W44" s="9">
        <f>M44*R44</f>
        <v/>
      </c>
      <c r="X44" s="9">
        <f>N44*R44</f>
        <v/>
      </c>
      <c r="Y44" s="9">
        <f>O44*R44</f>
        <v/>
      </c>
      <c r="Z44" s="9">
        <f>P44*R44</f>
        <v/>
      </c>
      <c r="AA44" s="9">
        <f>Y44-Z44</f>
        <v/>
      </c>
      <c r="AB44" s="10">
        <f>IFERROR(S44/W44,0)</f>
        <v/>
      </c>
    </row>
    <row r="45">
      <c r="A45" s="2" t="n">
        <v>60144</v>
      </c>
      <c r="B45" s="2" t="inlineStr">
        <is>
          <t>RICCI Sofia</t>
        </is>
      </c>
      <c r="C45" s="2" t="inlineStr">
        <is>
          <t>Experienced manager</t>
        </is>
      </c>
      <c r="D45" s="2" t="inlineStr">
        <is>
          <t>In</t>
        </is>
      </c>
      <c r="E45" s="2" t="inlineStr">
        <is>
          <t>Italy</t>
        </is>
      </c>
      <c r="F45" s="2" t="inlineStr">
        <is>
          <t>EUR</t>
        </is>
      </c>
      <c r="G45" s="8" t="n">
        <v>46023</v>
      </c>
      <c r="H45" s="8" t="n">
        <v>46387</v>
      </c>
      <c r="I45" s="9" t="n">
        <v>10123.27</v>
      </c>
      <c r="J45" s="9" t="n">
        <v>10426.97</v>
      </c>
      <c r="K45" s="9" t="n">
        <v>-303.7</v>
      </c>
      <c r="L45" s="9" t="n">
        <v>37977.51</v>
      </c>
      <c r="M45" s="9" t="n">
        <v>12659.17</v>
      </c>
      <c r="N45" s="9" t="n">
        <v>78442.87999999999</v>
      </c>
      <c r="O45" s="9" t="n">
        <v>11508.95</v>
      </c>
      <c r="P45" s="9" t="n">
        <v>339.85</v>
      </c>
      <c r="Q45" s="9">
        <f>O45-P45</f>
        <v/>
      </c>
      <c r="R45" s="3">
        <f>IFERROR(VLOOKUP(F45,'Currency to EUR'!$A$2:$B$9,2,FALSE),NA())</f>
        <v/>
      </c>
      <c r="S45" s="9">
        <f>I45*R45</f>
        <v/>
      </c>
      <c r="T45" s="9">
        <f>J45*R45</f>
        <v/>
      </c>
      <c r="U45" s="9">
        <f>K45*R45</f>
        <v/>
      </c>
      <c r="V45" s="9">
        <f>L45*R45</f>
        <v/>
      </c>
      <c r="W45" s="9">
        <f>M45*R45</f>
        <v/>
      </c>
      <c r="X45" s="9">
        <f>N45*R45</f>
        <v/>
      </c>
      <c r="Y45" s="9">
        <f>O45*R45</f>
        <v/>
      </c>
      <c r="Z45" s="9">
        <f>P45*R45</f>
        <v/>
      </c>
      <c r="AA45" s="9">
        <f>Y45-Z45</f>
        <v/>
      </c>
      <c r="AB45" s="10">
        <f>IFERROR(S45/W45,0)</f>
        <v/>
      </c>
    </row>
    <row r="46">
      <c r="A46" s="2" t="n">
        <v>60145</v>
      </c>
      <c r="B46" s="2" t="inlineStr">
        <is>
          <t>GRECO Matteo</t>
        </is>
      </c>
      <c r="C46" s="2" t="inlineStr">
        <is>
          <t>Manager</t>
        </is>
      </c>
      <c r="D46" s="2" t="inlineStr">
        <is>
          <t>In</t>
        </is>
      </c>
      <c r="E46" s="2" t="inlineStr">
        <is>
          <t>Italy</t>
        </is>
      </c>
      <c r="F46" s="2" t="inlineStr">
        <is>
          <t>EUR</t>
        </is>
      </c>
      <c r="G46" s="8" t="n">
        <v>46023</v>
      </c>
      <c r="H46" s="8" t="n">
        <v>46387</v>
      </c>
      <c r="I46" s="9" t="n">
        <v>8922.84</v>
      </c>
      <c r="J46" s="9" t="n">
        <v>7637.47</v>
      </c>
      <c r="K46" s="9" t="n">
        <v>1285.37</v>
      </c>
      <c r="L46" s="9" t="n">
        <v>30254.07</v>
      </c>
      <c r="M46" s="9" t="n">
        <v>10084.69</v>
      </c>
      <c r="N46" s="9" t="n">
        <v>70962.70000000001</v>
      </c>
      <c r="O46" s="9" t="n">
        <v>11629.86</v>
      </c>
      <c r="P46" s="9" t="n">
        <v>131.63</v>
      </c>
      <c r="Q46" s="9">
        <f>O46-P46</f>
        <v/>
      </c>
      <c r="R46" s="3">
        <f>IFERROR(VLOOKUP(F46,'Currency to EUR'!$A$2:$B$9,2,FALSE),NA())</f>
        <v/>
      </c>
      <c r="S46" s="9">
        <f>I46*R46</f>
        <v/>
      </c>
      <c r="T46" s="9">
        <f>J46*R46</f>
        <v/>
      </c>
      <c r="U46" s="9">
        <f>K46*R46</f>
        <v/>
      </c>
      <c r="V46" s="9">
        <f>L46*R46</f>
        <v/>
      </c>
      <c r="W46" s="9">
        <f>M46*R46</f>
        <v/>
      </c>
      <c r="X46" s="9">
        <f>N46*R46</f>
        <v/>
      </c>
      <c r="Y46" s="9">
        <f>O46*R46</f>
        <v/>
      </c>
      <c r="Z46" s="9">
        <f>P46*R46</f>
        <v/>
      </c>
      <c r="AA46" s="9">
        <f>Y46-Z46</f>
        <v/>
      </c>
      <c r="AB46" s="10">
        <f>IFERROR(S46/W46,0)</f>
        <v/>
      </c>
    </row>
    <row r="47">
      <c r="A47" s="2" t="n">
        <v>60146</v>
      </c>
      <c r="B47" s="2" t="inlineStr">
        <is>
          <t>MARINO Chiara</t>
        </is>
      </c>
      <c r="C47" s="2" t="inlineStr">
        <is>
          <t>Manager</t>
        </is>
      </c>
      <c r="D47" s="2" t="inlineStr">
        <is>
          <t>In</t>
        </is>
      </c>
      <c r="E47" s="2" t="inlineStr">
        <is>
          <t>Italy</t>
        </is>
      </c>
      <c r="F47" s="2" t="inlineStr">
        <is>
          <t>EUR</t>
        </is>
      </c>
      <c r="G47" s="8" t="n">
        <v>46023</v>
      </c>
      <c r="H47" s="8" t="n">
        <v>46387</v>
      </c>
      <c r="I47" s="9" t="n">
        <v>8480.860000000001</v>
      </c>
      <c r="J47" s="9" t="n">
        <v>7259.16</v>
      </c>
      <c r="K47" s="9" t="n">
        <v>1221.7</v>
      </c>
      <c r="L47" s="9" t="n">
        <v>29199.63</v>
      </c>
      <c r="M47" s="9" t="n">
        <v>9733.209999999999</v>
      </c>
      <c r="N47" s="9" t="n">
        <v>94475.44</v>
      </c>
      <c r="O47" s="9" t="n">
        <v>13861.22</v>
      </c>
      <c r="P47" s="9" t="n">
        <v>386.18</v>
      </c>
      <c r="Q47" s="9">
        <f>O47-P47</f>
        <v/>
      </c>
      <c r="R47" s="3">
        <f>IFERROR(VLOOKUP(F47,'Currency to EUR'!$A$2:$B$9,2,FALSE),NA())</f>
        <v/>
      </c>
      <c r="S47" s="9">
        <f>I47*R47</f>
        <v/>
      </c>
      <c r="T47" s="9">
        <f>J47*R47</f>
        <v/>
      </c>
      <c r="U47" s="9">
        <f>K47*R47</f>
        <v/>
      </c>
      <c r="V47" s="9">
        <f>L47*R47</f>
        <v/>
      </c>
      <c r="W47" s="9">
        <f>M47*R47</f>
        <v/>
      </c>
      <c r="X47" s="9">
        <f>N47*R47</f>
        <v/>
      </c>
      <c r="Y47" s="9">
        <f>O47*R47</f>
        <v/>
      </c>
      <c r="Z47" s="9">
        <f>P47*R47</f>
        <v/>
      </c>
      <c r="AA47" s="9">
        <f>Y47-Z47</f>
        <v/>
      </c>
      <c r="AB47" s="10">
        <f>IFERROR(S47/W47,0)</f>
        <v/>
      </c>
    </row>
    <row r="48">
      <c r="A48" s="2" t="n">
        <v>60147</v>
      </c>
      <c r="B48" s="2" t="inlineStr">
        <is>
          <t>GIORDANO Paolo</t>
        </is>
      </c>
      <c r="C48" s="2" t="inlineStr">
        <is>
          <t>Manager</t>
        </is>
      </c>
      <c r="D48" s="2" t="inlineStr">
        <is>
          <t>In</t>
        </is>
      </c>
      <c r="E48" s="2" t="inlineStr">
        <is>
          <t>Italy</t>
        </is>
      </c>
      <c r="F48" s="2" t="inlineStr">
        <is>
          <t>EUR</t>
        </is>
      </c>
      <c r="G48" s="8" t="n">
        <v>46023</v>
      </c>
      <c r="H48" s="8" t="n">
        <v>46387</v>
      </c>
      <c r="I48" s="9" t="n">
        <v>8801.559999999999</v>
      </c>
      <c r="J48" s="9" t="n">
        <v>7533.66</v>
      </c>
      <c r="K48" s="9" t="n">
        <v>1267.9</v>
      </c>
      <c r="L48" s="9" t="n">
        <v>29278.47</v>
      </c>
      <c r="M48" s="9" t="n">
        <v>9759.49</v>
      </c>
      <c r="N48" s="9" t="n">
        <v>61782.37</v>
      </c>
      <c r="O48" s="9" t="n">
        <v>10125.33</v>
      </c>
      <c r="P48" s="9" t="n">
        <v>118.27</v>
      </c>
      <c r="Q48" s="9">
        <f>O48-P48</f>
        <v/>
      </c>
      <c r="R48" s="3">
        <f>IFERROR(VLOOKUP(F48,'Currency to EUR'!$A$2:$B$9,2,FALSE),NA())</f>
        <v/>
      </c>
      <c r="S48" s="9">
        <f>I48*R48</f>
        <v/>
      </c>
      <c r="T48" s="9">
        <f>J48*R48</f>
        <v/>
      </c>
      <c r="U48" s="9">
        <f>K48*R48</f>
        <v/>
      </c>
      <c r="V48" s="9">
        <f>L48*R48</f>
        <v/>
      </c>
      <c r="W48" s="9">
        <f>M48*R48</f>
        <v/>
      </c>
      <c r="X48" s="9">
        <f>N48*R48</f>
        <v/>
      </c>
      <c r="Y48" s="9">
        <f>O48*R48</f>
        <v/>
      </c>
      <c r="Z48" s="9">
        <f>P48*R48</f>
        <v/>
      </c>
      <c r="AA48" s="9">
        <f>Y48-Z48</f>
        <v/>
      </c>
      <c r="AB48" s="10">
        <f>IFERROR(S48/W48,0)</f>
        <v/>
      </c>
    </row>
    <row r="49">
      <c r="A49" s="2" t="n">
        <v>60148</v>
      </c>
      <c r="B49" s="2" t="inlineStr">
        <is>
          <t>MANCINI Laura</t>
        </is>
      </c>
      <c r="C49" s="2" t="inlineStr">
        <is>
          <t>Experienced manager</t>
        </is>
      </c>
      <c r="D49" s="2" t="inlineStr">
        <is>
          <t>In</t>
        </is>
      </c>
      <c r="E49" s="2" t="inlineStr">
        <is>
          <t>Italy</t>
        </is>
      </c>
      <c r="F49" s="2" t="inlineStr">
        <is>
          <t>EUR</t>
        </is>
      </c>
      <c r="G49" s="8" t="n">
        <v>46023</v>
      </c>
      <c r="H49" s="8" t="n">
        <v>46387</v>
      </c>
      <c r="I49" s="9" t="n">
        <v>11261.53</v>
      </c>
      <c r="J49" s="9" t="n">
        <v>11599.38</v>
      </c>
      <c r="K49" s="9" t="n">
        <v>-337.85</v>
      </c>
      <c r="L49" s="9" t="n">
        <v>36821.34</v>
      </c>
      <c r="M49" s="9" t="n">
        <v>12273.78</v>
      </c>
      <c r="N49" s="9" t="n">
        <v>77399.34</v>
      </c>
      <c r="O49" s="9" t="n">
        <v>11355.88</v>
      </c>
      <c r="P49" s="9" t="n">
        <v>347.86</v>
      </c>
      <c r="Q49" s="9">
        <f>O49-P49</f>
        <v/>
      </c>
      <c r="R49" s="3">
        <f>IFERROR(VLOOKUP(F49,'Currency to EUR'!$A$2:$B$9,2,FALSE),NA())</f>
        <v/>
      </c>
      <c r="S49" s="9">
        <f>I49*R49</f>
        <v/>
      </c>
      <c r="T49" s="9">
        <f>J49*R49</f>
        <v/>
      </c>
      <c r="U49" s="9">
        <f>K49*R49</f>
        <v/>
      </c>
      <c r="V49" s="9">
        <f>L49*R49</f>
        <v/>
      </c>
      <c r="W49" s="9">
        <f>M49*R49</f>
        <v/>
      </c>
      <c r="X49" s="9">
        <f>N49*R49</f>
        <v/>
      </c>
      <c r="Y49" s="9">
        <f>O49*R49</f>
        <v/>
      </c>
      <c r="Z49" s="9">
        <f>P49*R49</f>
        <v/>
      </c>
      <c r="AA49" s="9">
        <f>Y49-Z49</f>
        <v/>
      </c>
      <c r="AB49" s="10">
        <f>IFERROR(S49/W49,0)</f>
        <v/>
      </c>
    </row>
    <row r="50">
      <c r="A50" s="2" t="n">
        <v>60149</v>
      </c>
      <c r="B50" s="2" t="inlineStr">
        <is>
          <t>FERRARO Stefano</t>
        </is>
      </c>
      <c r="C50" s="2" t="inlineStr">
        <is>
          <t>Manager</t>
        </is>
      </c>
      <c r="D50" s="2" t="inlineStr">
        <is>
          <t>In</t>
        </is>
      </c>
      <c r="E50" s="2" t="inlineStr">
        <is>
          <t>Italy</t>
        </is>
      </c>
      <c r="F50" s="2" t="inlineStr">
        <is>
          <t>EUR</t>
        </is>
      </c>
      <c r="G50" s="8" t="n">
        <v>46023</v>
      </c>
      <c r="H50" s="8" t="n">
        <v>46387</v>
      </c>
      <c r="I50" s="9" t="n">
        <v>9603.379999999999</v>
      </c>
      <c r="J50" s="9" t="n">
        <v>8219.98</v>
      </c>
      <c r="K50" s="9" t="n">
        <v>1383.4</v>
      </c>
      <c r="L50" s="9" t="n">
        <v>30111.51</v>
      </c>
      <c r="M50" s="9" t="n">
        <v>10037.17</v>
      </c>
      <c r="N50" s="9" t="n">
        <v>72336.24000000001</v>
      </c>
      <c r="O50" s="9" t="n">
        <v>11854.97</v>
      </c>
      <c r="P50" s="9" t="n">
        <v>156.84</v>
      </c>
      <c r="Q50" s="9">
        <f>O50-P50</f>
        <v/>
      </c>
      <c r="R50" s="3">
        <f>IFERROR(VLOOKUP(F50,'Currency to EUR'!$A$2:$B$9,2,FALSE),NA())</f>
        <v/>
      </c>
      <c r="S50" s="9">
        <f>I50*R50</f>
        <v/>
      </c>
      <c r="T50" s="9">
        <f>J50*R50</f>
        <v/>
      </c>
      <c r="U50" s="9">
        <f>K50*R50</f>
        <v/>
      </c>
      <c r="V50" s="9">
        <f>L50*R50</f>
        <v/>
      </c>
      <c r="W50" s="9">
        <f>M50*R50</f>
        <v/>
      </c>
      <c r="X50" s="9">
        <f>N50*R50</f>
        <v/>
      </c>
      <c r="Y50" s="9">
        <f>O50*R50</f>
        <v/>
      </c>
      <c r="Z50" s="9">
        <f>P50*R50</f>
        <v/>
      </c>
      <c r="AA50" s="9">
        <f>Y50-Z50</f>
        <v/>
      </c>
      <c r="AB50" s="10">
        <f>IFERROR(S50/W50,0)</f>
        <v/>
      </c>
    </row>
    <row r="51">
      <c r="A51" s="2" t="n">
        <v>60150</v>
      </c>
      <c r="B51" s="2" t="inlineStr">
        <is>
          <t>MORETTI Elisa</t>
        </is>
      </c>
      <c r="C51" s="2" t="inlineStr">
        <is>
          <t>Manager</t>
        </is>
      </c>
      <c r="D51" s="2" t="inlineStr">
        <is>
          <t>In</t>
        </is>
      </c>
      <c r="E51" s="2" t="inlineStr">
        <is>
          <t>Italy</t>
        </is>
      </c>
      <c r="F51" s="2" t="inlineStr">
        <is>
          <t>EUR</t>
        </is>
      </c>
      <c r="G51" s="8" t="n">
        <v>46023</v>
      </c>
      <c r="H51" s="8" t="n">
        <v>46387</v>
      </c>
      <c r="I51" s="9" t="n">
        <v>9843.16</v>
      </c>
      <c r="J51" s="9" t="n">
        <v>8425.209999999999</v>
      </c>
      <c r="K51" s="9" t="n">
        <v>1417.94</v>
      </c>
      <c r="L51" s="9" t="n">
        <v>31727.02</v>
      </c>
      <c r="M51" s="9" t="n">
        <v>10575.67</v>
      </c>
      <c r="N51" s="9" t="n">
        <v>89856.58</v>
      </c>
      <c r="O51" s="9" t="n">
        <v>13183.54</v>
      </c>
      <c r="P51" s="9" t="n">
        <v>355.03</v>
      </c>
      <c r="Q51" s="9">
        <f>O51-P51</f>
        <v/>
      </c>
      <c r="R51" s="3">
        <f>IFERROR(VLOOKUP(F51,'Currency to EUR'!$A$2:$B$9,2,FALSE),NA())</f>
        <v/>
      </c>
      <c r="S51" s="9">
        <f>I51*R51</f>
        <v/>
      </c>
      <c r="T51" s="9">
        <f>J51*R51</f>
        <v/>
      </c>
      <c r="U51" s="9">
        <f>K51*R51</f>
        <v/>
      </c>
      <c r="V51" s="9">
        <f>L51*R51</f>
        <v/>
      </c>
      <c r="W51" s="9">
        <f>M51*R51</f>
        <v/>
      </c>
      <c r="X51" s="9">
        <f>N51*R51</f>
        <v/>
      </c>
      <c r="Y51" s="9">
        <f>O51*R51</f>
        <v/>
      </c>
      <c r="Z51" s="9">
        <f>P51*R51</f>
        <v/>
      </c>
      <c r="AA51" s="9">
        <f>Y51-Z51</f>
        <v/>
      </c>
      <c r="AB51" s="10">
        <f>IFERROR(S51/W51,0)</f>
        <v/>
      </c>
    </row>
    <row r="52">
      <c r="A52" s="2" t="n">
        <v>60151</v>
      </c>
      <c r="B52" s="2" t="inlineStr">
        <is>
          <t>COSTA Davide</t>
        </is>
      </c>
      <c r="C52" s="2" t="inlineStr">
        <is>
          <t>Experienced manager</t>
        </is>
      </c>
      <c r="D52" s="2" t="inlineStr">
        <is>
          <t>In</t>
        </is>
      </c>
      <c r="E52" s="2" t="inlineStr">
        <is>
          <t>Italy</t>
        </is>
      </c>
      <c r="F52" s="2" t="inlineStr">
        <is>
          <t>EUR</t>
        </is>
      </c>
      <c r="G52" s="8" t="n">
        <v>46023</v>
      </c>
      <c r="H52" s="8" t="n">
        <v>46387</v>
      </c>
      <c r="I52" s="9" t="n">
        <v>10350.9</v>
      </c>
      <c r="J52" s="9" t="n">
        <v>10661.42</v>
      </c>
      <c r="K52" s="9" t="n">
        <v>-310.53</v>
      </c>
      <c r="L52" s="9" t="n">
        <v>35142.7</v>
      </c>
      <c r="M52" s="9" t="n">
        <v>11714.23</v>
      </c>
      <c r="N52" s="9" t="n">
        <v>72414.53</v>
      </c>
      <c r="O52" s="9" t="n">
        <v>11867.8</v>
      </c>
      <c r="P52" s="9" t="n">
        <v>141.3</v>
      </c>
      <c r="Q52" s="9">
        <f>O52-P52</f>
        <v/>
      </c>
      <c r="R52" s="3">
        <f>IFERROR(VLOOKUP(F52,'Currency to EUR'!$A$2:$B$9,2,FALSE),NA())</f>
        <v/>
      </c>
      <c r="S52" s="9">
        <f>I52*R52</f>
        <v/>
      </c>
      <c r="T52" s="9">
        <f>J52*R52</f>
        <v/>
      </c>
      <c r="U52" s="9">
        <f>K52*R52</f>
        <v/>
      </c>
      <c r="V52" s="9">
        <f>L52*R52</f>
        <v/>
      </c>
      <c r="W52" s="9">
        <f>M52*R52</f>
        <v/>
      </c>
      <c r="X52" s="9">
        <f>N52*R52</f>
        <v/>
      </c>
      <c r="Y52" s="9">
        <f>O52*R52</f>
        <v/>
      </c>
      <c r="Z52" s="9">
        <f>P52*R52</f>
        <v/>
      </c>
      <c r="AA52" s="9">
        <f>Y52-Z52</f>
        <v/>
      </c>
      <c r="AB52" s="10">
        <f>IFERROR(S52/W52,0)</f>
        <v/>
      </c>
    </row>
    <row r="53">
      <c r="A53" s="2" t="n">
        <v>60012</v>
      </c>
      <c r="B53" s="2" t="inlineStr">
        <is>
          <t>SMITH James</t>
        </is>
      </c>
      <c r="C53" s="2" t="inlineStr">
        <is>
          <t>Manager</t>
        </is>
      </c>
      <c r="D53" s="2" t="inlineStr">
        <is>
          <t>In</t>
        </is>
      </c>
      <c r="E53" s="2" t="inlineStr">
        <is>
          <t>United States</t>
        </is>
      </c>
      <c r="F53" s="2" t="inlineStr">
        <is>
          <t>USD</t>
        </is>
      </c>
      <c r="G53" s="8" t="n">
        <v>46023</v>
      </c>
      <c r="H53" s="8" t="n">
        <v>46387</v>
      </c>
      <c r="I53" s="9" t="n">
        <v>17679.44</v>
      </c>
      <c r="J53" s="9" t="n">
        <v>18209.82</v>
      </c>
      <c r="K53" s="9" t="n">
        <v>-530.38</v>
      </c>
      <c r="L53" s="9" t="n">
        <v>55313.94</v>
      </c>
      <c r="M53" s="9" t="n">
        <v>18437.98</v>
      </c>
      <c r="N53" s="9" t="n">
        <v>53535.64</v>
      </c>
      <c r="O53" s="9" t="n">
        <v>8392.4</v>
      </c>
      <c r="P53" s="9" t="n">
        <v>58.49</v>
      </c>
      <c r="Q53" s="9">
        <f>O53-P53</f>
        <v/>
      </c>
      <c r="R53" s="3">
        <f>IFERROR(VLOOKUP(F53,'Currency to EUR'!$A$2:$B$9,2,FALSE),NA())</f>
        <v/>
      </c>
      <c r="S53" s="9">
        <f>I53*R53</f>
        <v/>
      </c>
      <c r="T53" s="9">
        <f>J53*R53</f>
        <v/>
      </c>
      <c r="U53" s="9">
        <f>K53*R53</f>
        <v/>
      </c>
      <c r="V53" s="9">
        <f>L53*R53</f>
        <v/>
      </c>
      <c r="W53" s="9">
        <f>M53*R53</f>
        <v/>
      </c>
      <c r="X53" s="9">
        <f>N53*R53</f>
        <v/>
      </c>
      <c r="Y53" s="9">
        <f>O53*R53</f>
        <v/>
      </c>
      <c r="Z53" s="9">
        <f>P53*R53</f>
        <v/>
      </c>
      <c r="AA53" s="9">
        <f>Y53-Z53</f>
        <v/>
      </c>
      <c r="AB53" s="10">
        <f>IFERROR(S53/W53,0)</f>
        <v/>
      </c>
    </row>
    <row r="54">
      <c r="A54" s="2" t="n">
        <v>60013</v>
      </c>
      <c r="B54" s="2" t="inlineStr">
        <is>
          <t>JOHNSON Emily</t>
        </is>
      </c>
      <c r="C54" s="2" t="inlineStr">
        <is>
          <t>Experienced manager</t>
        </is>
      </c>
      <c r="D54" s="2" t="inlineStr">
        <is>
          <t>In</t>
        </is>
      </c>
      <c r="E54" s="2" t="inlineStr">
        <is>
          <t>United States</t>
        </is>
      </c>
      <c r="F54" s="2" t="inlineStr">
        <is>
          <t>USD</t>
        </is>
      </c>
      <c r="G54" s="8" t="n">
        <v>46023</v>
      </c>
      <c r="H54" s="8" t="n">
        <v>46387</v>
      </c>
      <c r="I54" s="9" t="n">
        <v>20035.58</v>
      </c>
      <c r="J54" s="9" t="n">
        <v>16960.49</v>
      </c>
      <c r="K54" s="9" t="n">
        <v>3075.09</v>
      </c>
      <c r="L54" s="9" t="n">
        <v>76629.61</v>
      </c>
      <c r="M54" s="9" t="n">
        <v>25543.2</v>
      </c>
      <c r="N54" s="9" t="n">
        <v>201045.54</v>
      </c>
      <c r="O54" s="9" t="n">
        <v>31987.81</v>
      </c>
      <c r="P54" s="9" t="n">
        <v>0</v>
      </c>
      <c r="Q54" s="9">
        <f>O54-P54</f>
        <v/>
      </c>
      <c r="R54" s="3">
        <f>IFERROR(VLOOKUP(F54,'Currency to EUR'!$A$2:$B$9,2,FALSE),NA())</f>
        <v/>
      </c>
      <c r="S54" s="9">
        <f>I54*R54</f>
        <v/>
      </c>
      <c r="T54" s="9">
        <f>J54*R54</f>
        <v/>
      </c>
      <c r="U54" s="9">
        <f>K54*R54</f>
        <v/>
      </c>
      <c r="V54" s="9">
        <f>L54*R54</f>
        <v/>
      </c>
      <c r="W54" s="9">
        <f>M54*R54</f>
        <v/>
      </c>
      <c r="X54" s="9">
        <f>N54*R54</f>
        <v/>
      </c>
      <c r="Y54" s="9">
        <f>O54*R54</f>
        <v/>
      </c>
      <c r="Z54" s="9">
        <f>P54*R54</f>
        <v/>
      </c>
      <c r="AA54" s="9">
        <f>Y54-Z54</f>
        <v/>
      </c>
      <c r="AB54" s="10">
        <f>IFERROR(S54/W54,0)</f>
        <v/>
      </c>
    </row>
    <row r="55">
      <c r="A55" s="2" t="n">
        <v>60014</v>
      </c>
      <c r="B55" s="2" t="inlineStr">
        <is>
          <t>WILLIAMS Michael</t>
        </is>
      </c>
      <c r="C55" s="2" t="inlineStr">
        <is>
          <t>Manager</t>
        </is>
      </c>
      <c r="D55" s="2" t="inlineStr">
        <is>
          <t>In</t>
        </is>
      </c>
      <c r="E55" s="2" t="inlineStr">
        <is>
          <t>United States</t>
        </is>
      </c>
      <c r="F55" s="2" t="inlineStr">
        <is>
          <t>USD</t>
        </is>
      </c>
      <c r="G55" s="8" t="n">
        <v>46023</v>
      </c>
      <c r="H55" s="8" t="n">
        <v>46387</v>
      </c>
      <c r="I55" s="9" t="n">
        <v>16519.4</v>
      </c>
      <c r="J55" s="9" t="n">
        <v>12167.71</v>
      </c>
      <c r="K55" s="9" t="n">
        <v>4351.69</v>
      </c>
      <c r="L55" s="9" t="n">
        <v>54535.07</v>
      </c>
      <c r="M55" s="9" t="n">
        <v>18178.36</v>
      </c>
      <c r="N55" s="9" t="n">
        <v>231368.31</v>
      </c>
      <c r="O55" s="9" t="n">
        <v>38143.35</v>
      </c>
      <c r="P55" s="9" t="n">
        <v>8739.1</v>
      </c>
      <c r="Q55" s="9">
        <f>O55-P55</f>
        <v/>
      </c>
      <c r="R55" s="3">
        <f>IFERROR(VLOOKUP(F55,'Currency to EUR'!$A$2:$B$9,2,FALSE),NA())</f>
        <v/>
      </c>
      <c r="S55" s="9">
        <f>I55*R55</f>
        <v/>
      </c>
      <c r="T55" s="9">
        <f>J55*R55</f>
        <v/>
      </c>
      <c r="U55" s="9">
        <f>K55*R55</f>
        <v/>
      </c>
      <c r="V55" s="9">
        <f>L55*R55</f>
        <v/>
      </c>
      <c r="W55" s="9">
        <f>M55*R55</f>
        <v/>
      </c>
      <c r="X55" s="9">
        <f>N55*R55</f>
        <v/>
      </c>
      <c r="Y55" s="9">
        <f>O55*R55</f>
        <v/>
      </c>
      <c r="Z55" s="9">
        <f>P55*R55</f>
        <v/>
      </c>
      <c r="AA55" s="9">
        <f>Y55-Z55</f>
        <v/>
      </c>
      <c r="AB55" s="10">
        <f>IFERROR(S55/W55,0)</f>
        <v/>
      </c>
    </row>
    <row r="56">
      <c r="A56" s="2" t="n">
        <v>60015</v>
      </c>
      <c r="B56" s="2" t="inlineStr">
        <is>
          <t>BROWN Olivia</t>
        </is>
      </c>
      <c r="C56" s="2" t="inlineStr">
        <is>
          <t>Experienced manager</t>
        </is>
      </c>
      <c r="D56" s="2" t="inlineStr">
        <is>
          <t>In</t>
        </is>
      </c>
      <c r="E56" s="2" t="inlineStr">
        <is>
          <t>United States</t>
        </is>
      </c>
      <c r="F56" s="2" t="inlineStr">
        <is>
          <t>USD</t>
        </is>
      </c>
      <c r="G56" s="8" t="n">
        <v>46023</v>
      </c>
      <c r="H56" s="8" t="n">
        <v>46387</v>
      </c>
      <c r="I56" s="9" t="n">
        <v>21494.6</v>
      </c>
      <c r="J56" s="9" t="n">
        <v>18264.66</v>
      </c>
      <c r="K56" s="9" t="n">
        <v>3229.94</v>
      </c>
      <c r="L56" s="9" t="n">
        <v>74863.89999999999</v>
      </c>
      <c r="M56" s="9" t="n">
        <v>24954.63</v>
      </c>
      <c r="N56" s="9" t="n">
        <v>241722.17</v>
      </c>
      <c r="O56" s="9" t="n">
        <v>39070.4</v>
      </c>
      <c r="P56" s="9" t="n">
        <v>266.23</v>
      </c>
      <c r="Q56" s="9">
        <f>O56-P56</f>
        <v/>
      </c>
      <c r="R56" s="3">
        <f>IFERROR(VLOOKUP(F56,'Currency to EUR'!$A$2:$B$9,2,FALSE),NA())</f>
        <v/>
      </c>
      <c r="S56" s="9">
        <f>I56*R56</f>
        <v/>
      </c>
      <c r="T56" s="9">
        <f>J56*R56</f>
        <v/>
      </c>
      <c r="U56" s="9">
        <f>K56*R56</f>
        <v/>
      </c>
      <c r="V56" s="9">
        <f>L56*R56</f>
        <v/>
      </c>
      <c r="W56" s="9">
        <f>M56*R56</f>
        <v/>
      </c>
      <c r="X56" s="9">
        <f>N56*R56</f>
        <v/>
      </c>
      <c r="Y56" s="9">
        <f>O56*R56</f>
        <v/>
      </c>
      <c r="Z56" s="9">
        <f>P56*R56</f>
        <v/>
      </c>
      <c r="AA56" s="9">
        <f>Y56-Z56</f>
        <v/>
      </c>
      <c r="AB56" s="10">
        <f>IFERROR(S56/W56,0)</f>
        <v/>
      </c>
    </row>
    <row r="57">
      <c r="A57" s="2" t="n">
        <v>60016</v>
      </c>
      <c r="B57" s="2" t="inlineStr">
        <is>
          <t>JONES William</t>
        </is>
      </c>
      <c r="C57" s="2" t="inlineStr">
        <is>
          <t>Manager</t>
        </is>
      </c>
      <c r="D57" s="2" t="inlineStr">
        <is>
          <t>In</t>
        </is>
      </c>
      <c r="E57" s="2" t="inlineStr">
        <is>
          <t>United States</t>
        </is>
      </c>
      <c r="F57" s="2" t="inlineStr">
        <is>
          <t>USD</t>
        </is>
      </c>
      <c r="G57" s="8" t="n">
        <v>46023</v>
      </c>
      <c r="H57" s="8" t="n">
        <v>46387</v>
      </c>
      <c r="I57" s="9" t="n">
        <v>16633.52</v>
      </c>
      <c r="J57" s="9" t="n">
        <v>13141.25</v>
      </c>
      <c r="K57" s="9" t="n">
        <v>3492.27</v>
      </c>
      <c r="L57" s="9" t="n">
        <v>53948.4</v>
      </c>
      <c r="M57" s="9" t="n">
        <v>17982.8</v>
      </c>
      <c r="N57" s="9" t="n">
        <v>122406.29</v>
      </c>
      <c r="O57" s="9" t="n">
        <v>18102.1</v>
      </c>
      <c r="P57" s="9" t="n">
        <v>315.18</v>
      </c>
      <c r="Q57" s="9">
        <f>O57-P57</f>
        <v/>
      </c>
      <c r="R57" s="3">
        <f>IFERROR(VLOOKUP(F57,'Currency to EUR'!$A$2:$B$9,2,FALSE),NA())</f>
        <v/>
      </c>
      <c r="S57" s="9">
        <f>I57*R57</f>
        <v/>
      </c>
      <c r="T57" s="9">
        <f>J57*R57</f>
        <v/>
      </c>
      <c r="U57" s="9">
        <f>K57*R57</f>
        <v/>
      </c>
      <c r="V57" s="9">
        <f>L57*R57</f>
        <v/>
      </c>
      <c r="W57" s="9">
        <f>M57*R57</f>
        <v/>
      </c>
      <c r="X57" s="9">
        <f>N57*R57</f>
        <v/>
      </c>
      <c r="Y57" s="9">
        <f>O57*R57</f>
        <v/>
      </c>
      <c r="Z57" s="9">
        <f>P57*R57</f>
        <v/>
      </c>
      <c r="AA57" s="9">
        <f>Y57-Z57</f>
        <v/>
      </c>
      <c r="AB57" s="10">
        <f>IFERROR(S57/W57,0)</f>
        <v/>
      </c>
    </row>
    <row r="58">
      <c r="A58" s="2" t="n">
        <v>60017</v>
      </c>
      <c r="B58" s="2" t="inlineStr">
        <is>
          <t>DAVIS Sophia</t>
        </is>
      </c>
      <c r="C58" s="2" t="inlineStr">
        <is>
          <t>Manager</t>
        </is>
      </c>
      <c r="D58" s="2" t="inlineStr">
        <is>
          <t>In</t>
        </is>
      </c>
      <c r="E58" s="2" t="inlineStr">
        <is>
          <t>United States</t>
        </is>
      </c>
      <c r="F58" s="2" t="inlineStr">
        <is>
          <t>USD</t>
        </is>
      </c>
      <c r="G58" s="8" t="n">
        <v>46023</v>
      </c>
      <c r="H58" s="8" t="n">
        <v>46387</v>
      </c>
      <c r="I58" s="9" t="n">
        <v>17303.55</v>
      </c>
      <c r="J58" s="9" t="n">
        <v>12416.44</v>
      </c>
      <c r="K58" s="9" t="n">
        <v>4887.11</v>
      </c>
      <c r="L58" s="9" t="n">
        <v>57285.65</v>
      </c>
      <c r="M58" s="9" t="n">
        <v>19095.22</v>
      </c>
      <c r="N58" s="9" t="n">
        <v>80973.22</v>
      </c>
      <c r="O58" s="9" t="n">
        <v>12904.04</v>
      </c>
      <c r="P58" s="9" t="n">
        <v>1211.24</v>
      </c>
      <c r="Q58" s="9">
        <f>O58-P58</f>
        <v/>
      </c>
      <c r="R58" s="3">
        <f>IFERROR(VLOOKUP(F58,'Currency to EUR'!$A$2:$B$9,2,FALSE),NA())</f>
        <v/>
      </c>
      <c r="S58" s="9">
        <f>I58*R58</f>
        <v/>
      </c>
      <c r="T58" s="9">
        <f>J58*R58</f>
        <v/>
      </c>
      <c r="U58" s="9">
        <f>K58*R58</f>
        <v/>
      </c>
      <c r="V58" s="9">
        <f>L58*R58</f>
        <v/>
      </c>
      <c r="W58" s="9">
        <f>M58*R58</f>
        <v/>
      </c>
      <c r="X58" s="9">
        <f>N58*R58</f>
        <v/>
      </c>
      <c r="Y58" s="9">
        <f>O58*R58</f>
        <v/>
      </c>
      <c r="Z58" s="9">
        <f>P58*R58</f>
        <v/>
      </c>
      <c r="AA58" s="9">
        <f>Y58-Z58</f>
        <v/>
      </c>
      <c r="AB58" s="10">
        <f>IFERROR(S58/W58,0)</f>
        <v/>
      </c>
    </row>
    <row r="59">
      <c r="A59" s="2" t="n">
        <v>60018</v>
      </c>
      <c r="B59" s="2" t="inlineStr">
        <is>
          <t>MILLER Daniel</t>
        </is>
      </c>
      <c r="C59" s="2" t="inlineStr">
        <is>
          <t>Experienced manager</t>
        </is>
      </c>
      <c r="D59" s="2" t="inlineStr">
        <is>
          <t>In</t>
        </is>
      </c>
      <c r="E59" s="2" t="inlineStr">
        <is>
          <t>United States</t>
        </is>
      </c>
      <c r="F59" s="2" t="inlineStr">
        <is>
          <t>USD</t>
        </is>
      </c>
      <c r="G59" s="8" t="n">
        <v>46023</v>
      </c>
      <c r="H59" s="8" t="n">
        <v>46387</v>
      </c>
      <c r="I59" s="9" t="n">
        <v>19925.05</v>
      </c>
      <c r="J59" s="9" t="n">
        <v>17642.51</v>
      </c>
      <c r="K59" s="9" t="n">
        <v>2282.54</v>
      </c>
      <c r="L59" s="9" t="n">
        <v>75505.38</v>
      </c>
      <c r="M59" s="9" t="n">
        <v>25168.46</v>
      </c>
      <c r="N59" s="9" t="n">
        <v>24699.45</v>
      </c>
      <c r="O59" s="9" t="n">
        <v>3932.5</v>
      </c>
      <c r="P59" s="9" t="n">
        <v>560.1</v>
      </c>
      <c r="Q59" s="9">
        <f>O59-P59</f>
        <v/>
      </c>
      <c r="R59" s="3">
        <f>IFERROR(VLOOKUP(F59,'Currency to EUR'!$A$2:$B$9,2,FALSE),NA())</f>
        <v/>
      </c>
      <c r="S59" s="9">
        <f>I59*R59</f>
        <v/>
      </c>
      <c r="T59" s="9">
        <f>J59*R59</f>
        <v/>
      </c>
      <c r="U59" s="9">
        <f>K59*R59</f>
        <v/>
      </c>
      <c r="V59" s="9">
        <f>L59*R59</f>
        <v/>
      </c>
      <c r="W59" s="9">
        <f>M59*R59</f>
        <v/>
      </c>
      <c r="X59" s="9">
        <f>N59*R59</f>
        <v/>
      </c>
      <c r="Y59" s="9">
        <f>O59*R59</f>
        <v/>
      </c>
      <c r="Z59" s="9">
        <f>P59*R59</f>
        <v/>
      </c>
      <c r="AA59" s="9">
        <f>Y59-Z59</f>
        <v/>
      </c>
      <c r="AB59" s="10">
        <f>IFERROR(S59/W59,0)</f>
        <v/>
      </c>
    </row>
    <row r="60">
      <c r="A60" s="2" t="n">
        <v>60019</v>
      </c>
      <c r="B60" s="2" t="inlineStr">
        <is>
          <t>WILSON Ava</t>
        </is>
      </c>
      <c r="C60" s="2" t="inlineStr">
        <is>
          <t>Experienced manager</t>
        </is>
      </c>
      <c r="D60" s="2" t="inlineStr">
        <is>
          <t>In</t>
        </is>
      </c>
      <c r="E60" s="2" t="inlineStr">
        <is>
          <t>United States</t>
        </is>
      </c>
      <c r="F60" s="2" t="inlineStr">
        <is>
          <t>USD</t>
        </is>
      </c>
      <c r="G60" s="8" t="n">
        <v>46023</v>
      </c>
      <c r="H60" s="8" t="n">
        <v>46387</v>
      </c>
      <c r="I60" s="9" t="n">
        <v>23222.25</v>
      </c>
      <c r="J60" s="9" t="n">
        <v>19858.82</v>
      </c>
      <c r="K60" s="9" t="n">
        <v>3363.43</v>
      </c>
      <c r="L60" s="9" t="n">
        <v>75318.19</v>
      </c>
      <c r="M60" s="9" t="n">
        <v>25106.06</v>
      </c>
      <c r="N60" s="9" t="n">
        <v>215931.34</v>
      </c>
      <c r="O60" s="9" t="n">
        <v>34971.31</v>
      </c>
      <c r="P60" s="9" t="n">
        <v>17992.64</v>
      </c>
      <c r="Q60" s="9">
        <f>O60-P60</f>
        <v/>
      </c>
      <c r="R60" s="3">
        <f>IFERROR(VLOOKUP(F60,'Currency to EUR'!$A$2:$B$9,2,FALSE),NA())</f>
        <v/>
      </c>
      <c r="S60" s="9">
        <f>I60*R60</f>
        <v/>
      </c>
      <c r="T60" s="9">
        <f>J60*R60</f>
        <v/>
      </c>
      <c r="U60" s="9">
        <f>K60*R60</f>
        <v/>
      </c>
      <c r="V60" s="9">
        <f>L60*R60</f>
        <v/>
      </c>
      <c r="W60" s="9">
        <f>M60*R60</f>
        <v/>
      </c>
      <c r="X60" s="9">
        <f>N60*R60</f>
        <v/>
      </c>
      <c r="Y60" s="9">
        <f>O60*R60</f>
        <v/>
      </c>
      <c r="Z60" s="9">
        <f>P60*R60</f>
        <v/>
      </c>
      <c r="AA60" s="9">
        <f>Y60-Z60</f>
        <v/>
      </c>
      <c r="AB60" s="10">
        <f>IFERROR(S60/W60,0)</f>
        <v/>
      </c>
    </row>
    <row r="61">
      <c r="A61" s="2" t="n">
        <v>60020</v>
      </c>
      <c r="B61" s="2" t="inlineStr">
        <is>
          <t>MOORE Matthew</t>
        </is>
      </c>
      <c r="C61" s="2" t="inlineStr">
        <is>
          <t>Manager</t>
        </is>
      </c>
      <c r="D61" s="2" t="inlineStr">
        <is>
          <t>In</t>
        </is>
      </c>
      <c r="E61" s="2" t="inlineStr">
        <is>
          <t>United States</t>
        </is>
      </c>
      <c r="F61" s="2" t="inlineStr">
        <is>
          <t>USD</t>
        </is>
      </c>
      <c r="G61" s="8" t="n">
        <v>46023</v>
      </c>
      <c r="H61" s="8" t="n">
        <v>46387</v>
      </c>
      <c r="I61" s="9" t="n">
        <v>16331.36</v>
      </c>
      <c r="J61" s="9" t="n">
        <v>11208.26</v>
      </c>
      <c r="K61" s="9" t="n">
        <v>5123.1</v>
      </c>
      <c r="L61" s="9" t="n">
        <v>54128.66</v>
      </c>
      <c r="M61" s="9" t="n">
        <v>18042.89</v>
      </c>
      <c r="N61" s="9" t="n">
        <v>20131.08</v>
      </c>
      <c r="O61" s="9" t="n">
        <v>3293.57</v>
      </c>
      <c r="P61" s="9" t="n">
        <v>350.74</v>
      </c>
      <c r="Q61" s="9">
        <f>O61-P61</f>
        <v/>
      </c>
      <c r="R61" s="3">
        <f>IFERROR(VLOOKUP(F61,'Currency to EUR'!$A$2:$B$9,2,FALSE),NA())</f>
        <v/>
      </c>
      <c r="S61" s="9">
        <f>I61*R61</f>
        <v/>
      </c>
      <c r="T61" s="9">
        <f>J61*R61</f>
        <v/>
      </c>
      <c r="U61" s="9">
        <f>K61*R61</f>
        <v/>
      </c>
      <c r="V61" s="9">
        <f>L61*R61</f>
        <v/>
      </c>
      <c r="W61" s="9">
        <f>M61*R61</f>
        <v/>
      </c>
      <c r="X61" s="9">
        <f>N61*R61</f>
        <v/>
      </c>
      <c r="Y61" s="9">
        <f>O61*R61</f>
        <v/>
      </c>
      <c r="Z61" s="9">
        <f>P61*R61</f>
        <v/>
      </c>
      <c r="AA61" s="9">
        <f>Y61-Z61</f>
        <v/>
      </c>
      <c r="AB61" s="10">
        <f>IFERROR(S61/W61,0)</f>
        <v/>
      </c>
    </row>
    <row r="62">
      <c r="A62" s="2" t="n">
        <v>60021</v>
      </c>
      <c r="B62" s="2" t="inlineStr">
        <is>
          <t>TAYLOR Emma</t>
        </is>
      </c>
      <c r="C62" s="2" t="inlineStr">
        <is>
          <t>Manager</t>
        </is>
      </c>
      <c r="D62" s="2" t="inlineStr">
        <is>
          <t>In</t>
        </is>
      </c>
      <c r="E62" s="2" t="inlineStr">
        <is>
          <t>United States</t>
        </is>
      </c>
      <c r="F62" s="2" t="inlineStr">
        <is>
          <t>USD</t>
        </is>
      </c>
      <c r="G62" s="8" t="n">
        <v>46023</v>
      </c>
      <c r="H62" s="8" t="n">
        <v>46387</v>
      </c>
      <c r="I62" s="9" t="n">
        <v>16159.97</v>
      </c>
      <c r="J62" s="9" t="n">
        <v>13807.28</v>
      </c>
      <c r="K62" s="9" t="n">
        <v>2352.69</v>
      </c>
      <c r="L62" s="9" t="n">
        <v>56641.64</v>
      </c>
      <c r="M62" s="9" t="n">
        <v>18880.55</v>
      </c>
      <c r="N62" s="9" t="n">
        <v>9054.690000000002</v>
      </c>
      <c r="O62" s="9" t="n">
        <v>-4382.75</v>
      </c>
      <c r="P62" s="9" t="n">
        <v>0</v>
      </c>
      <c r="Q62" s="9">
        <f>O62-P62</f>
        <v/>
      </c>
      <c r="R62" s="3">
        <f>IFERROR(VLOOKUP(F62,'Currency to EUR'!$A$2:$B$9,2,FALSE),NA())</f>
        <v/>
      </c>
      <c r="S62" s="9">
        <f>I62*R62</f>
        <v/>
      </c>
      <c r="T62" s="9">
        <f>J62*R62</f>
        <v/>
      </c>
      <c r="U62" s="9">
        <f>K62*R62</f>
        <v/>
      </c>
      <c r="V62" s="9">
        <f>L62*R62</f>
        <v/>
      </c>
      <c r="W62" s="9">
        <f>M62*R62</f>
        <v/>
      </c>
      <c r="X62" s="9">
        <f>N62*R62</f>
        <v/>
      </c>
      <c r="Y62" s="9">
        <f>O62*R62</f>
        <v/>
      </c>
      <c r="Z62" s="9">
        <f>P62*R62</f>
        <v/>
      </c>
      <c r="AA62" s="9">
        <f>Y62-Z62</f>
        <v/>
      </c>
      <c r="AB62" s="10">
        <f>IFERROR(S62/W62,0)</f>
        <v/>
      </c>
    </row>
    <row r="63">
      <c r="A63" s="2" t="n">
        <v>60022</v>
      </c>
      <c r="B63" s="2" t="inlineStr">
        <is>
          <t>ANDERSON David</t>
        </is>
      </c>
      <c r="C63" s="2" t="inlineStr">
        <is>
          <t>Manager</t>
        </is>
      </c>
      <c r="D63" s="2" t="inlineStr">
        <is>
          <t>In</t>
        </is>
      </c>
      <c r="E63" s="2" t="inlineStr">
        <is>
          <t>United States</t>
        </is>
      </c>
      <c r="F63" s="2" t="inlineStr">
        <is>
          <t>USD</t>
        </is>
      </c>
      <c r="G63" s="8" t="n">
        <v>46023</v>
      </c>
      <c r="H63" s="8" t="n">
        <v>46387</v>
      </c>
      <c r="I63" s="9" t="n">
        <v>14866.34</v>
      </c>
      <c r="J63" s="9" t="n">
        <v>13298.48</v>
      </c>
      <c r="K63" s="9" t="n">
        <v>1567.86</v>
      </c>
      <c r="L63" s="9" t="n">
        <v>57817.48</v>
      </c>
      <c r="M63" s="9" t="n">
        <v>19272.49</v>
      </c>
      <c r="N63" s="9" t="n">
        <v>185372.12</v>
      </c>
      <c r="O63" s="9" t="n">
        <v>37408.1</v>
      </c>
      <c r="P63" s="9" t="n">
        <v>10402.98</v>
      </c>
      <c r="Q63" s="9">
        <f>O63-P63</f>
        <v/>
      </c>
      <c r="R63" s="3">
        <f>IFERROR(VLOOKUP(F63,'Currency to EUR'!$A$2:$B$9,2,FALSE),NA())</f>
        <v/>
      </c>
      <c r="S63" s="9">
        <f>I63*R63</f>
        <v/>
      </c>
      <c r="T63" s="9">
        <f>J63*R63</f>
        <v/>
      </c>
      <c r="U63" s="9">
        <f>K63*R63</f>
        <v/>
      </c>
      <c r="V63" s="9">
        <f>L63*R63</f>
        <v/>
      </c>
      <c r="W63" s="9">
        <f>M63*R63</f>
        <v/>
      </c>
      <c r="X63" s="9">
        <f>N63*R63</f>
        <v/>
      </c>
      <c r="Y63" s="9">
        <f>O63*R63</f>
        <v/>
      </c>
      <c r="Z63" s="9">
        <f>P63*R63</f>
        <v/>
      </c>
      <c r="AA63" s="9">
        <f>Y63-Z63</f>
        <v/>
      </c>
      <c r="AB63" s="10">
        <f>IFERROR(S63/W63,0)</f>
        <v/>
      </c>
    </row>
    <row r="64">
      <c r="A64" s="2" t="n">
        <v>60023</v>
      </c>
      <c r="B64" s="2" t="inlineStr">
        <is>
          <t>THOMAS Mia</t>
        </is>
      </c>
      <c r="C64" s="2" t="inlineStr">
        <is>
          <t>Senior manager</t>
        </is>
      </c>
      <c r="D64" s="2" t="inlineStr">
        <is>
          <t>In</t>
        </is>
      </c>
      <c r="E64" s="2" t="inlineStr">
        <is>
          <t>United States</t>
        </is>
      </c>
      <c r="F64" s="2" t="inlineStr">
        <is>
          <t>USD</t>
        </is>
      </c>
      <c r="G64" s="8" t="n">
        <v>46023</v>
      </c>
      <c r="H64" s="8" t="n">
        <v>46387</v>
      </c>
      <c r="I64" s="9" t="n">
        <v>28194.39</v>
      </c>
      <c r="J64" s="9" t="n">
        <v>21614.9</v>
      </c>
      <c r="K64" s="9" t="n">
        <v>6579.49</v>
      </c>
      <c r="L64" s="9" t="n">
        <v>90900.2</v>
      </c>
      <c r="M64" s="9" t="n">
        <v>30300.07</v>
      </c>
      <c r="N64" s="9" t="n">
        <v>257545.37</v>
      </c>
      <c r="O64" s="9" t="n">
        <v>28954.36</v>
      </c>
      <c r="P64" s="9" t="n">
        <v>10399.77</v>
      </c>
      <c r="Q64" s="9">
        <f>O64-P64</f>
        <v/>
      </c>
      <c r="R64" s="3">
        <f>IFERROR(VLOOKUP(F64,'Currency to EUR'!$A$2:$B$9,2,FALSE),NA())</f>
        <v/>
      </c>
      <c r="S64" s="9">
        <f>I64*R64</f>
        <v/>
      </c>
      <c r="T64" s="9">
        <f>J64*R64</f>
        <v/>
      </c>
      <c r="U64" s="9">
        <f>K64*R64</f>
        <v/>
      </c>
      <c r="V64" s="9">
        <f>L64*R64</f>
        <v/>
      </c>
      <c r="W64" s="9">
        <f>M64*R64</f>
        <v/>
      </c>
      <c r="X64" s="9">
        <f>N64*R64</f>
        <v/>
      </c>
      <c r="Y64" s="9">
        <f>O64*R64</f>
        <v/>
      </c>
      <c r="Z64" s="9">
        <f>P64*R64</f>
        <v/>
      </c>
      <c r="AA64" s="9">
        <f>Y64-Z64</f>
        <v/>
      </c>
      <c r="AB64" s="10">
        <f>IFERROR(S64/W64,0)</f>
        <v/>
      </c>
    </row>
    <row r="65">
      <c r="A65" s="2" t="n">
        <v>60024</v>
      </c>
      <c r="B65" s="2" t="inlineStr">
        <is>
          <t>JACKSON Andrew</t>
        </is>
      </c>
      <c r="C65" s="2" t="inlineStr">
        <is>
          <t>Manager</t>
        </is>
      </c>
      <c r="D65" s="2" t="inlineStr">
        <is>
          <t>In</t>
        </is>
      </c>
      <c r="E65" s="2" t="inlineStr">
        <is>
          <t>United States</t>
        </is>
      </c>
      <c r="F65" s="2" t="inlineStr">
        <is>
          <t>USD</t>
        </is>
      </c>
      <c r="G65" s="8" t="n">
        <v>46023</v>
      </c>
      <c r="H65" s="8" t="n">
        <v>46387</v>
      </c>
      <c r="I65" s="9" t="n">
        <v>16838.33</v>
      </c>
      <c r="J65" s="9" t="n">
        <v>11990.92</v>
      </c>
      <c r="K65" s="9" t="n">
        <v>4847.41</v>
      </c>
      <c r="L65" s="9" t="n">
        <v>54235.15</v>
      </c>
      <c r="M65" s="9" t="n">
        <v>18078.38</v>
      </c>
      <c r="N65" s="9" t="n">
        <v>113770.9</v>
      </c>
      <c r="O65" s="9" t="n">
        <v>17504.46</v>
      </c>
      <c r="P65" s="9" t="n">
        <v>288.52</v>
      </c>
      <c r="Q65" s="9">
        <f>O65-P65</f>
        <v/>
      </c>
      <c r="R65" s="3">
        <f>IFERROR(VLOOKUP(F65,'Currency to EUR'!$A$2:$B$9,2,FALSE),NA())</f>
        <v/>
      </c>
      <c r="S65" s="9">
        <f>I65*R65</f>
        <v/>
      </c>
      <c r="T65" s="9">
        <f>J65*R65</f>
        <v/>
      </c>
      <c r="U65" s="9">
        <f>K65*R65</f>
        <v/>
      </c>
      <c r="V65" s="9">
        <f>L65*R65</f>
        <v/>
      </c>
      <c r="W65" s="9">
        <f>M65*R65</f>
        <v/>
      </c>
      <c r="X65" s="9">
        <f>N65*R65</f>
        <v/>
      </c>
      <c r="Y65" s="9">
        <f>O65*R65</f>
        <v/>
      </c>
      <c r="Z65" s="9">
        <f>P65*R65</f>
        <v/>
      </c>
      <c r="AA65" s="9">
        <f>Y65-Z65</f>
        <v/>
      </c>
      <c r="AB65" s="10">
        <f>IFERROR(S65/W65,0)</f>
        <v/>
      </c>
    </row>
    <row r="66">
      <c r="A66" s="2" t="n">
        <v>60025</v>
      </c>
      <c r="B66" s="2" t="inlineStr">
        <is>
          <t>WHITE Grace</t>
        </is>
      </c>
      <c r="C66" s="2" t="inlineStr">
        <is>
          <t>Experienced manager</t>
        </is>
      </c>
      <c r="D66" s="2" t="inlineStr">
        <is>
          <t>In</t>
        </is>
      </c>
      <c r="E66" s="2" t="inlineStr">
        <is>
          <t>United States</t>
        </is>
      </c>
      <c r="F66" s="2" t="inlineStr">
        <is>
          <t>USD</t>
        </is>
      </c>
      <c r="G66" s="8" t="n">
        <v>46023</v>
      </c>
      <c r="H66" s="8" t="n">
        <v>46387</v>
      </c>
      <c r="I66" s="9" t="n">
        <v>24329.58</v>
      </c>
      <c r="J66" s="9" t="n">
        <v>20450.82</v>
      </c>
      <c r="K66" s="9" t="n">
        <v>3878.76</v>
      </c>
      <c r="L66" s="9" t="n">
        <v>74911.58</v>
      </c>
      <c r="M66" s="9" t="n">
        <v>24970.53</v>
      </c>
      <c r="N66" s="9" t="n">
        <v>106301.72</v>
      </c>
      <c r="O66" s="9" t="n">
        <v>16737.78</v>
      </c>
      <c r="P66" s="9" t="n">
        <v>7412.27</v>
      </c>
      <c r="Q66" s="9">
        <f>O66-P66</f>
        <v/>
      </c>
      <c r="R66" s="3">
        <f>IFERROR(VLOOKUP(F66,'Currency to EUR'!$A$2:$B$9,2,FALSE),NA())</f>
        <v/>
      </c>
      <c r="S66" s="9">
        <f>I66*R66</f>
        <v/>
      </c>
      <c r="T66" s="9">
        <f>J66*R66</f>
        <v/>
      </c>
      <c r="U66" s="9">
        <f>K66*R66</f>
        <v/>
      </c>
      <c r="V66" s="9">
        <f>L66*R66</f>
        <v/>
      </c>
      <c r="W66" s="9">
        <f>M66*R66</f>
        <v/>
      </c>
      <c r="X66" s="9">
        <f>N66*R66</f>
        <v/>
      </c>
      <c r="Y66" s="9">
        <f>O66*R66</f>
        <v/>
      </c>
      <c r="Z66" s="9">
        <f>P66*R66</f>
        <v/>
      </c>
      <c r="AA66" s="9">
        <f>Y66-Z66</f>
        <v/>
      </c>
      <c r="AB66" s="10">
        <f>IFERROR(S66/W66,0)</f>
        <v/>
      </c>
    </row>
    <row r="67">
      <c r="A67" s="2" t="n">
        <v>60026</v>
      </c>
      <c r="B67" s="2" t="inlineStr">
        <is>
          <t>HARRIS Henry</t>
        </is>
      </c>
      <c r="C67" s="2" t="inlineStr">
        <is>
          <t>Manager</t>
        </is>
      </c>
      <c r="D67" s="2" t="inlineStr">
        <is>
          <t>In</t>
        </is>
      </c>
      <c r="E67" s="2" t="inlineStr">
        <is>
          <t>United States</t>
        </is>
      </c>
      <c r="F67" s="2" t="inlineStr">
        <is>
          <t>USD</t>
        </is>
      </c>
      <c r="G67" s="8" t="n">
        <v>46023</v>
      </c>
      <c r="H67" s="8" t="n">
        <v>46387</v>
      </c>
      <c r="I67" s="9" t="n">
        <v>17820.03</v>
      </c>
      <c r="J67" s="9" t="n">
        <v>13575.97</v>
      </c>
      <c r="K67" s="9" t="n">
        <v>4244.06</v>
      </c>
      <c r="L67" s="9" t="n">
        <v>56745.64</v>
      </c>
      <c r="M67" s="9" t="n">
        <v>18915.21</v>
      </c>
      <c r="N67" s="9" t="n">
        <v>207703.17</v>
      </c>
      <c r="O67" s="9" t="n">
        <v>29194.58</v>
      </c>
      <c r="P67" s="9" t="n">
        <v>15495.71</v>
      </c>
      <c r="Q67" s="9">
        <f>O67-P67</f>
        <v/>
      </c>
      <c r="R67" s="3">
        <f>IFERROR(VLOOKUP(F67,'Currency to EUR'!$A$2:$B$9,2,FALSE),NA())</f>
        <v/>
      </c>
      <c r="S67" s="9">
        <f>I67*R67</f>
        <v/>
      </c>
      <c r="T67" s="9">
        <f>J67*R67</f>
        <v/>
      </c>
      <c r="U67" s="9">
        <f>K67*R67</f>
        <v/>
      </c>
      <c r="V67" s="9">
        <f>L67*R67</f>
        <v/>
      </c>
      <c r="W67" s="9">
        <f>M67*R67</f>
        <v/>
      </c>
      <c r="X67" s="9">
        <f>N67*R67</f>
        <v/>
      </c>
      <c r="Y67" s="9">
        <f>O67*R67</f>
        <v/>
      </c>
      <c r="Z67" s="9">
        <f>P67*R67</f>
        <v/>
      </c>
      <c r="AA67" s="9">
        <f>Y67-Z67</f>
        <v/>
      </c>
      <c r="AB67" s="10">
        <f>IFERROR(S67/W67,0)</f>
        <v/>
      </c>
    </row>
    <row r="68">
      <c r="A68" s="2" t="n">
        <v>60167</v>
      </c>
      <c r="B68" s="2" t="inlineStr">
        <is>
          <t>CARTER Ethan</t>
        </is>
      </c>
      <c r="C68" s="2" t="inlineStr">
        <is>
          <t>Experienced manager</t>
        </is>
      </c>
      <c r="D68" s="2" t="inlineStr">
        <is>
          <t>In</t>
        </is>
      </c>
      <c r="E68" s="2" t="inlineStr">
        <is>
          <t>United States</t>
        </is>
      </c>
      <c r="F68" s="2" t="inlineStr">
        <is>
          <t>USD</t>
        </is>
      </c>
      <c r="G68" s="8" t="n">
        <v>46023</v>
      </c>
      <c r="H68" s="8" t="n">
        <v>46387</v>
      </c>
      <c r="I68" s="9" t="n">
        <v>22180.67</v>
      </c>
      <c r="J68" s="9" t="n">
        <v>18776.35</v>
      </c>
      <c r="K68" s="9" t="n">
        <v>3404.32</v>
      </c>
      <c r="L68" s="9" t="n">
        <v>75545.39999999999</v>
      </c>
      <c r="M68" s="9" t="n">
        <v>25181.8</v>
      </c>
      <c r="N68" s="9" t="n">
        <v>51498.66</v>
      </c>
      <c r="O68" s="9" t="n">
        <v>8073.08</v>
      </c>
      <c r="P68" s="9" t="n">
        <v>762.4400000000001</v>
      </c>
      <c r="Q68" s="9">
        <f>O68-P68</f>
        <v/>
      </c>
      <c r="R68" s="3">
        <f>IFERROR(VLOOKUP(F68,'Currency to EUR'!$A$2:$B$9,2,FALSE),NA())</f>
        <v/>
      </c>
      <c r="S68" s="9">
        <f>I68*R68</f>
        <v/>
      </c>
      <c r="T68" s="9">
        <f>J68*R68</f>
        <v/>
      </c>
      <c r="U68" s="9">
        <f>K68*R68</f>
        <v/>
      </c>
      <c r="V68" s="9">
        <f>L68*R68</f>
        <v/>
      </c>
      <c r="W68" s="9">
        <f>M68*R68</f>
        <v/>
      </c>
      <c r="X68" s="9">
        <f>N68*R68</f>
        <v/>
      </c>
      <c r="Y68" s="9">
        <f>O68*R68</f>
        <v/>
      </c>
      <c r="Z68" s="9">
        <f>P68*R68</f>
        <v/>
      </c>
      <c r="AA68" s="9">
        <f>Y68-Z68</f>
        <v/>
      </c>
      <c r="AB68" s="10">
        <f>IFERROR(S68/W68,0)</f>
        <v/>
      </c>
    </row>
    <row r="69">
      <c r="A69" s="2" t="n">
        <v>60168</v>
      </c>
      <c r="B69" s="2" t="inlineStr">
        <is>
          <t>MITCHELL Lily</t>
        </is>
      </c>
      <c r="C69" s="2" t="inlineStr">
        <is>
          <t>Manager</t>
        </is>
      </c>
      <c r="D69" s="2" t="inlineStr">
        <is>
          <t>In</t>
        </is>
      </c>
      <c r="E69" s="2" t="inlineStr">
        <is>
          <t>United States</t>
        </is>
      </c>
      <c r="F69" s="2" t="inlineStr">
        <is>
          <t>USD</t>
        </is>
      </c>
      <c r="G69" s="8" t="n">
        <v>46023</v>
      </c>
      <c r="H69" s="8" t="n">
        <v>46387</v>
      </c>
      <c r="I69" s="9" t="n">
        <v>17395.34</v>
      </c>
      <c r="J69" s="9" t="n">
        <v>13743.13</v>
      </c>
      <c r="K69" s="9" t="n">
        <v>3652.22</v>
      </c>
      <c r="L69" s="9" t="n">
        <v>57036.24</v>
      </c>
      <c r="M69" s="9" t="n">
        <v>19012.08</v>
      </c>
      <c r="N69" s="9" t="n">
        <v>221027.45</v>
      </c>
      <c r="O69" s="9" t="n">
        <v>35167.19</v>
      </c>
      <c r="P69" s="9" t="n">
        <v>18346.58</v>
      </c>
      <c r="Q69" s="9">
        <f>O69-P69</f>
        <v/>
      </c>
      <c r="R69" s="3">
        <f>IFERROR(VLOOKUP(F69,'Currency to EUR'!$A$2:$B$9,2,FALSE),NA())</f>
        <v/>
      </c>
      <c r="S69" s="9">
        <f>I69*R69</f>
        <v/>
      </c>
      <c r="T69" s="9">
        <f>J69*R69</f>
        <v/>
      </c>
      <c r="U69" s="9">
        <f>K69*R69</f>
        <v/>
      </c>
      <c r="V69" s="9">
        <f>L69*R69</f>
        <v/>
      </c>
      <c r="W69" s="9">
        <f>M69*R69</f>
        <v/>
      </c>
      <c r="X69" s="9">
        <f>N69*R69</f>
        <v/>
      </c>
      <c r="Y69" s="9">
        <f>O69*R69</f>
        <v/>
      </c>
      <c r="Z69" s="9">
        <f>P69*R69</f>
        <v/>
      </c>
      <c r="AA69" s="9">
        <f>Y69-Z69</f>
        <v/>
      </c>
      <c r="AB69" s="10">
        <f>IFERROR(S69/W69,0)</f>
        <v/>
      </c>
    </row>
    <row r="70">
      <c r="A70" s="2" t="n">
        <v>60169</v>
      </c>
      <c r="B70" s="2" t="inlineStr">
        <is>
          <t>ROBERTS Noah</t>
        </is>
      </c>
      <c r="C70" s="2" t="inlineStr">
        <is>
          <t>Experienced manager</t>
        </is>
      </c>
      <c r="D70" s="2" t="inlineStr">
        <is>
          <t>In</t>
        </is>
      </c>
      <c r="E70" s="2" t="inlineStr">
        <is>
          <t>United States</t>
        </is>
      </c>
      <c r="F70" s="2" t="inlineStr">
        <is>
          <t>USD</t>
        </is>
      </c>
      <c r="G70" s="8" t="n">
        <v>46023</v>
      </c>
      <c r="H70" s="8" t="n">
        <v>46387</v>
      </c>
      <c r="I70" s="9" t="n">
        <v>21824.79</v>
      </c>
      <c r="J70" s="9" t="n">
        <v>18475.09</v>
      </c>
      <c r="K70" s="9" t="n">
        <v>3349.7</v>
      </c>
      <c r="L70" s="9" t="n">
        <v>76516.97</v>
      </c>
      <c r="M70" s="9" t="n">
        <v>25505.66</v>
      </c>
      <c r="N70" s="9" t="n">
        <v>234173.39</v>
      </c>
      <c r="O70" s="9" t="n">
        <v>38605.8</v>
      </c>
      <c r="P70" s="9" t="n">
        <v>9698.65</v>
      </c>
      <c r="Q70" s="9">
        <f>O70-P70</f>
        <v/>
      </c>
      <c r="R70" s="3">
        <f>IFERROR(VLOOKUP(F70,'Currency to EUR'!$A$2:$B$9,2,FALSE),NA())</f>
        <v/>
      </c>
      <c r="S70" s="9">
        <f>I70*R70</f>
        <v/>
      </c>
      <c r="T70" s="9">
        <f>J70*R70</f>
        <v/>
      </c>
      <c r="U70" s="9">
        <f>K70*R70</f>
        <v/>
      </c>
      <c r="V70" s="9">
        <f>L70*R70</f>
        <v/>
      </c>
      <c r="W70" s="9">
        <f>M70*R70</f>
        <v/>
      </c>
      <c r="X70" s="9">
        <f>N70*R70</f>
        <v/>
      </c>
      <c r="Y70" s="9">
        <f>O70*R70</f>
        <v/>
      </c>
      <c r="Z70" s="9">
        <f>P70*R70</f>
        <v/>
      </c>
      <c r="AA70" s="9">
        <f>Y70-Z70</f>
        <v/>
      </c>
      <c r="AB70" s="10">
        <f>IFERROR(S70/W70,0)</f>
        <v/>
      </c>
    </row>
    <row r="71">
      <c r="A71" s="2" t="n">
        <v>60170</v>
      </c>
      <c r="B71" s="2" t="inlineStr">
        <is>
          <t>CAMPBELL Chloe</t>
        </is>
      </c>
      <c r="C71" s="2" t="inlineStr">
        <is>
          <t>Manager</t>
        </is>
      </c>
      <c r="D71" s="2" t="inlineStr">
        <is>
          <t>In</t>
        </is>
      </c>
      <c r="E71" s="2" t="inlineStr">
        <is>
          <t>United States</t>
        </is>
      </c>
      <c r="F71" s="2" t="inlineStr">
        <is>
          <t>USD</t>
        </is>
      </c>
      <c r="G71" s="8" t="n">
        <v>46023</v>
      </c>
      <c r="H71" s="8" t="n">
        <v>46387</v>
      </c>
      <c r="I71" s="9" t="n">
        <v>17115.18</v>
      </c>
      <c r="J71" s="9" t="n">
        <v>11746.2</v>
      </c>
      <c r="K71" s="9" t="n">
        <v>5368.98</v>
      </c>
      <c r="L71" s="9" t="n">
        <v>55312.79</v>
      </c>
      <c r="M71" s="9" t="n">
        <v>18437.6</v>
      </c>
      <c r="N71" s="9" t="n">
        <v>261148.01</v>
      </c>
      <c r="O71" s="9" t="n">
        <v>42210.29</v>
      </c>
      <c r="P71" s="9" t="n">
        <v>306.69</v>
      </c>
      <c r="Q71" s="9">
        <f>O71-P71</f>
        <v/>
      </c>
      <c r="R71" s="3">
        <f>IFERROR(VLOOKUP(F71,'Currency to EUR'!$A$2:$B$9,2,FALSE),NA())</f>
        <v/>
      </c>
      <c r="S71" s="9">
        <f>I71*R71</f>
        <v/>
      </c>
      <c r="T71" s="9">
        <f>J71*R71</f>
        <v/>
      </c>
      <c r="U71" s="9">
        <f>K71*R71</f>
        <v/>
      </c>
      <c r="V71" s="9">
        <f>L71*R71</f>
        <v/>
      </c>
      <c r="W71" s="9">
        <f>M71*R71</f>
        <v/>
      </c>
      <c r="X71" s="9">
        <f>N71*R71</f>
        <v/>
      </c>
      <c r="Y71" s="9">
        <f>O71*R71</f>
        <v/>
      </c>
      <c r="Z71" s="9">
        <f>P71*R71</f>
        <v/>
      </c>
      <c r="AA71" s="9">
        <f>Y71-Z71</f>
        <v/>
      </c>
      <c r="AB71" s="10">
        <f>IFERROR(S71/W71,0)</f>
        <v/>
      </c>
    </row>
    <row r="72">
      <c r="A72" s="2" t="n">
        <v>60171</v>
      </c>
      <c r="B72" s="2" t="inlineStr">
        <is>
          <t>PARKER Liam</t>
        </is>
      </c>
      <c r="C72" s="2" t="inlineStr">
        <is>
          <t>Manager</t>
        </is>
      </c>
      <c r="D72" s="2" t="inlineStr">
        <is>
          <t>In</t>
        </is>
      </c>
      <c r="E72" s="2" t="inlineStr">
        <is>
          <t>United States</t>
        </is>
      </c>
      <c r="F72" s="2" t="inlineStr">
        <is>
          <t>USD</t>
        </is>
      </c>
      <c r="G72" s="8" t="n">
        <v>46023</v>
      </c>
      <c r="H72" s="8" t="n">
        <v>46387</v>
      </c>
      <c r="I72" s="9" t="n">
        <v>17560.72</v>
      </c>
      <c r="J72" s="9" t="n">
        <v>15004.1</v>
      </c>
      <c r="K72" s="9" t="n">
        <v>2556.62</v>
      </c>
      <c r="L72" s="9" t="n">
        <v>54550.12</v>
      </c>
      <c r="M72" s="9" t="n">
        <v>18183.37</v>
      </c>
      <c r="N72" s="9" t="n">
        <v>125394.23</v>
      </c>
      <c r="O72" s="9" t="n">
        <v>18543.96</v>
      </c>
      <c r="P72" s="9" t="n">
        <v>330.24</v>
      </c>
      <c r="Q72" s="9">
        <f>O72-P72</f>
        <v/>
      </c>
      <c r="R72" s="3">
        <f>IFERROR(VLOOKUP(F72,'Currency to EUR'!$A$2:$B$9,2,FALSE),NA())</f>
        <v/>
      </c>
      <c r="S72" s="9">
        <f>I72*R72</f>
        <v/>
      </c>
      <c r="T72" s="9">
        <f>J72*R72</f>
        <v/>
      </c>
      <c r="U72" s="9">
        <f>K72*R72</f>
        <v/>
      </c>
      <c r="V72" s="9">
        <f>L72*R72</f>
        <v/>
      </c>
      <c r="W72" s="9">
        <f>M72*R72</f>
        <v/>
      </c>
      <c r="X72" s="9">
        <f>N72*R72</f>
        <v/>
      </c>
      <c r="Y72" s="9">
        <f>O72*R72</f>
        <v/>
      </c>
      <c r="Z72" s="9">
        <f>P72*R72</f>
        <v/>
      </c>
      <c r="AA72" s="9">
        <f>Y72-Z72</f>
        <v/>
      </c>
      <c r="AB72" s="10">
        <f>IFERROR(S72/W72,0)</f>
        <v/>
      </c>
    </row>
    <row r="73">
      <c r="A73" s="2" t="n">
        <v>60172</v>
      </c>
      <c r="B73" s="2" t="inlineStr">
        <is>
          <t>EVANS Madison</t>
        </is>
      </c>
      <c r="C73" s="2" t="inlineStr">
        <is>
          <t>Manager</t>
        </is>
      </c>
      <c r="D73" s="2" t="inlineStr">
        <is>
          <t>In</t>
        </is>
      </c>
      <c r="E73" s="2" t="inlineStr">
        <is>
          <t>United States</t>
        </is>
      </c>
      <c r="F73" s="2" t="inlineStr">
        <is>
          <t>USD</t>
        </is>
      </c>
      <c r="G73" s="8" t="n">
        <v>46023</v>
      </c>
      <c r="H73" s="8" t="n">
        <v>46387</v>
      </c>
      <c r="I73" s="9" t="n">
        <v>17276.74</v>
      </c>
      <c r="J73" s="9" t="n">
        <v>13162.07</v>
      </c>
      <c r="K73" s="9" t="n">
        <v>4114.67</v>
      </c>
      <c r="L73" s="9" t="n">
        <v>53817.53</v>
      </c>
      <c r="M73" s="9" t="n">
        <v>17939.18</v>
      </c>
      <c r="N73" s="9" t="n">
        <v>88218.44</v>
      </c>
      <c r="O73" s="9" t="n">
        <v>14058.69</v>
      </c>
      <c r="P73" s="9" t="n">
        <v>7103.28</v>
      </c>
      <c r="Q73" s="9">
        <f>O73-P73</f>
        <v/>
      </c>
      <c r="R73" s="3">
        <f>IFERROR(VLOOKUP(F73,'Currency to EUR'!$A$2:$B$9,2,FALSE),NA())</f>
        <v/>
      </c>
      <c r="S73" s="9">
        <f>I73*R73</f>
        <v/>
      </c>
      <c r="T73" s="9">
        <f>J73*R73</f>
        <v/>
      </c>
      <c r="U73" s="9">
        <f>K73*R73</f>
        <v/>
      </c>
      <c r="V73" s="9">
        <f>L73*R73</f>
        <v/>
      </c>
      <c r="W73" s="9">
        <f>M73*R73</f>
        <v/>
      </c>
      <c r="X73" s="9">
        <f>N73*R73</f>
        <v/>
      </c>
      <c r="Y73" s="9">
        <f>O73*R73</f>
        <v/>
      </c>
      <c r="Z73" s="9">
        <f>P73*R73</f>
        <v/>
      </c>
      <c r="AA73" s="9">
        <f>Y73-Z73</f>
        <v/>
      </c>
      <c r="AB73" s="10">
        <f>IFERROR(S73/W73,0)</f>
        <v/>
      </c>
    </row>
    <row r="74">
      <c r="A74" s="2" t="n">
        <v>60027</v>
      </c>
      <c r="B74" s="2" t="inlineStr">
        <is>
          <t>GARCIA Alejandro</t>
        </is>
      </c>
      <c r="C74" s="2" t="inlineStr">
        <is>
          <t>Experienced manager</t>
        </is>
      </c>
      <c r="D74" s="2" t="inlineStr">
        <is>
          <t>In</t>
        </is>
      </c>
      <c r="E74" s="2" t="inlineStr">
        <is>
          <t>Spain</t>
        </is>
      </c>
      <c r="F74" s="2" t="inlineStr">
        <is>
          <t>EUR</t>
        </is>
      </c>
      <c r="G74" s="8" t="n">
        <v>46023</v>
      </c>
      <c r="H74" s="8" t="n">
        <v>46387</v>
      </c>
      <c r="I74" s="9" t="n">
        <v>9679.889999999999</v>
      </c>
      <c r="J74" s="9" t="n">
        <v>9970.290000000001</v>
      </c>
      <c r="K74" s="9" t="n">
        <v>-290.4</v>
      </c>
      <c r="L74" s="9" t="n">
        <v>34694.92</v>
      </c>
      <c r="M74" s="9" t="n">
        <v>11564.97</v>
      </c>
      <c r="N74" s="9" t="n">
        <v>27037.28</v>
      </c>
      <c r="O74" s="9" t="n">
        <v>4973.66</v>
      </c>
      <c r="P74" s="9" t="n">
        <v>216.52</v>
      </c>
      <c r="Q74" s="9">
        <f>O74-P74</f>
        <v/>
      </c>
      <c r="R74" s="3">
        <f>IFERROR(VLOOKUP(F74,'Currency to EUR'!$A$2:$B$9,2,FALSE),NA())</f>
        <v/>
      </c>
      <c r="S74" s="9">
        <f>I74*R74</f>
        <v/>
      </c>
      <c r="T74" s="9">
        <f>J74*R74</f>
        <v/>
      </c>
      <c r="U74" s="9">
        <f>K74*R74</f>
        <v/>
      </c>
      <c r="V74" s="9">
        <f>L74*R74</f>
        <v/>
      </c>
      <c r="W74" s="9">
        <f>M74*R74</f>
        <v/>
      </c>
      <c r="X74" s="9">
        <f>N74*R74</f>
        <v/>
      </c>
      <c r="Y74" s="9">
        <f>O74*R74</f>
        <v/>
      </c>
      <c r="Z74" s="9">
        <f>P74*R74</f>
        <v/>
      </c>
      <c r="AA74" s="9">
        <f>Y74-Z74</f>
        <v/>
      </c>
      <c r="AB74" s="10">
        <f>IFERROR(S74/W74,0)</f>
        <v/>
      </c>
    </row>
    <row r="75">
      <c r="A75" s="2" t="n">
        <v>60028</v>
      </c>
      <c r="B75" s="2" t="inlineStr">
        <is>
          <t>MARTINEZ Lucia</t>
        </is>
      </c>
      <c r="C75" s="2" t="inlineStr">
        <is>
          <t>Experienced manager</t>
        </is>
      </c>
      <c r="D75" s="2" t="inlineStr">
        <is>
          <t>In</t>
        </is>
      </c>
      <c r="E75" s="2" t="inlineStr">
        <is>
          <t>Spain</t>
        </is>
      </c>
      <c r="F75" s="2" t="inlineStr">
        <is>
          <t>EUR</t>
        </is>
      </c>
      <c r="G75" s="8" t="n">
        <v>46023</v>
      </c>
      <c r="H75" s="8" t="n">
        <v>46387</v>
      </c>
      <c r="I75" s="9" t="n">
        <v>8870.07</v>
      </c>
      <c r="J75" s="9" t="n">
        <v>6581.48</v>
      </c>
      <c r="K75" s="9" t="n">
        <v>2288.59</v>
      </c>
      <c r="L75" s="9" t="n">
        <v>32713.23</v>
      </c>
      <c r="M75" s="9" t="n">
        <v>10904.41</v>
      </c>
      <c r="N75" s="9" t="n">
        <v>94487.67</v>
      </c>
      <c r="O75" s="9" t="n">
        <v>14989.61</v>
      </c>
      <c r="P75" s="9" t="n">
        <v>0</v>
      </c>
      <c r="Q75" s="9">
        <f>O75-P75</f>
        <v/>
      </c>
      <c r="R75" s="3">
        <f>IFERROR(VLOOKUP(F75,'Currency to EUR'!$A$2:$B$9,2,FALSE),NA())</f>
        <v/>
      </c>
      <c r="S75" s="9">
        <f>I75*R75</f>
        <v/>
      </c>
      <c r="T75" s="9">
        <f>J75*R75</f>
        <v/>
      </c>
      <c r="U75" s="9">
        <f>K75*R75</f>
        <v/>
      </c>
      <c r="V75" s="9">
        <f>L75*R75</f>
        <v/>
      </c>
      <c r="W75" s="9">
        <f>M75*R75</f>
        <v/>
      </c>
      <c r="X75" s="9">
        <f>N75*R75</f>
        <v/>
      </c>
      <c r="Y75" s="9">
        <f>O75*R75</f>
        <v/>
      </c>
      <c r="Z75" s="9">
        <f>P75*R75</f>
        <v/>
      </c>
      <c r="AA75" s="9">
        <f>Y75-Z75</f>
        <v/>
      </c>
      <c r="AB75" s="10">
        <f>IFERROR(S75/W75,0)</f>
        <v/>
      </c>
    </row>
    <row r="76">
      <c r="A76" s="2" t="n">
        <v>60029</v>
      </c>
      <c r="B76" s="2" t="inlineStr">
        <is>
          <t>RODRIGUEZ Daniel</t>
        </is>
      </c>
      <c r="C76" s="2" t="inlineStr">
        <is>
          <t>Manager</t>
        </is>
      </c>
      <c r="D76" s="2" t="inlineStr">
        <is>
          <t>In</t>
        </is>
      </c>
      <c r="E76" s="2" t="inlineStr">
        <is>
          <t>Spain</t>
        </is>
      </c>
      <c r="F76" s="2" t="inlineStr">
        <is>
          <t>EUR</t>
        </is>
      </c>
      <c r="G76" s="8" t="n">
        <v>46023</v>
      </c>
      <c r="H76" s="8" t="n">
        <v>46387</v>
      </c>
      <c r="I76" s="9" t="n">
        <v>8175.37</v>
      </c>
      <c r="J76" s="9" t="n">
        <v>5742.99</v>
      </c>
      <c r="K76" s="9" t="n">
        <v>2432.38</v>
      </c>
      <c r="L76" s="9" t="n">
        <v>28458.28</v>
      </c>
      <c r="M76" s="9" t="n">
        <v>9486.09</v>
      </c>
      <c r="N76" s="9" t="n">
        <v>3423.350000000006</v>
      </c>
      <c r="O76" s="9" t="n">
        <v>209.5100000000002</v>
      </c>
      <c r="P76" s="9" t="n">
        <v>96.26000000000001</v>
      </c>
      <c r="Q76" s="9">
        <f>O76-P76</f>
        <v/>
      </c>
      <c r="R76" s="3">
        <f>IFERROR(VLOOKUP(F76,'Currency to EUR'!$A$2:$B$9,2,FALSE),NA())</f>
        <v/>
      </c>
      <c r="S76" s="9">
        <f>I76*R76</f>
        <v/>
      </c>
      <c r="T76" s="9">
        <f>J76*R76</f>
        <v/>
      </c>
      <c r="U76" s="9">
        <f>K76*R76</f>
        <v/>
      </c>
      <c r="V76" s="9">
        <f>L76*R76</f>
        <v/>
      </c>
      <c r="W76" s="9">
        <f>M76*R76</f>
        <v/>
      </c>
      <c r="X76" s="9">
        <f>N76*R76</f>
        <v/>
      </c>
      <c r="Y76" s="9">
        <f>O76*R76</f>
        <v/>
      </c>
      <c r="Z76" s="9">
        <f>P76*R76</f>
        <v/>
      </c>
      <c r="AA76" s="9">
        <f>Y76-Z76</f>
        <v/>
      </c>
      <c r="AB76" s="10">
        <f>IFERROR(S76/W76,0)</f>
        <v/>
      </c>
    </row>
    <row r="77">
      <c r="A77" s="2" t="n">
        <v>60030</v>
      </c>
      <c r="B77" s="2" t="inlineStr">
        <is>
          <t>LOPEZ Carmen</t>
        </is>
      </c>
      <c r="C77" s="2" t="inlineStr">
        <is>
          <t>Senior manager</t>
        </is>
      </c>
      <c r="D77" s="2" t="inlineStr">
        <is>
          <t>In</t>
        </is>
      </c>
      <c r="E77" s="2" t="inlineStr">
        <is>
          <t>Spain</t>
        </is>
      </c>
      <c r="F77" s="2" t="inlineStr">
        <is>
          <t>EUR</t>
        </is>
      </c>
      <c r="G77" s="8" t="n">
        <v>46023</v>
      </c>
      <c r="H77" s="8" t="n">
        <v>46387</v>
      </c>
      <c r="I77" s="9" t="n">
        <v>12615.63</v>
      </c>
      <c r="J77" s="9" t="n">
        <v>8881.629999999999</v>
      </c>
      <c r="K77" s="9" t="n">
        <v>3734</v>
      </c>
      <c r="L77" s="9" t="n">
        <v>41740.01</v>
      </c>
      <c r="M77" s="9" t="n">
        <v>13913.34</v>
      </c>
      <c r="N77" s="9" t="n">
        <v>67303.63</v>
      </c>
      <c r="O77" s="9" t="n">
        <v>11107.52</v>
      </c>
      <c r="P77" s="9" t="n">
        <v>3126.25</v>
      </c>
      <c r="Q77" s="9">
        <f>O77-P77</f>
        <v/>
      </c>
      <c r="R77" s="3">
        <f>IFERROR(VLOOKUP(F77,'Currency to EUR'!$A$2:$B$9,2,FALSE),NA())</f>
        <v/>
      </c>
      <c r="S77" s="9">
        <f>I77*R77</f>
        <v/>
      </c>
      <c r="T77" s="9">
        <f>J77*R77</f>
        <v/>
      </c>
      <c r="U77" s="9">
        <f>K77*R77</f>
        <v/>
      </c>
      <c r="V77" s="9">
        <f>L77*R77</f>
        <v/>
      </c>
      <c r="W77" s="9">
        <f>M77*R77</f>
        <v/>
      </c>
      <c r="X77" s="9">
        <f>N77*R77</f>
        <v/>
      </c>
      <c r="Y77" s="9">
        <f>O77*R77</f>
        <v/>
      </c>
      <c r="Z77" s="9">
        <f>P77*R77</f>
        <v/>
      </c>
      <c r="AA77" s="9">
        <f>Y77-Z77</f>
        <v/>
      </c>
      <c r="AB77" s="10">
        <f>IFERROR(S77/W77,0)</f>
        <v/>
      </c>
    </row>
    <row r="78">
      <c r="A78" s="2" t="n">
        <v>60031</v>
      </c>
      <c r="B78" s="2" t="inlineStr">
        <is>
          <t>SANCHEZ Javier</t>
        </is>
      </c>
      <c r="C78" s="2" t="inlineStr">
        <is>
          <t>Manager</t>
        </is>
      </c>
      <c r="D78" s="2" t="inlineStr">
        <is>
          <t>In</t>
        </is>
      </c>
      <c r="E78" s="2" t="inlineStr">
        <is>
          <t>Spain</t>
        </is>
      </c>
      <c r="F78" s="2" t="inlineStr">
        <is>
          <t>EUR</t>
        </is>
      </c>
      <c r="G78" s="8" t="n">
        <v>46023</v>
      </c>
      <c r="H78" s="8" t="n">
        <v>46387</v>
      </c>
      <c r="I78" s="9" t="n">
        <v>8829.27</v>
      </c>
      <c r="J78" s="9" t="n">
        <v>6050.64</v>
      </c>
      <c r="K78" s="9" t="n">
        <v>2778.63</v>
      </c>
      <c r="L78" s="9" t="n">
        <v>30118.2</v>
      </c>
      <c r="M78" s="9" t="n">
        <v>10039.4</v>
      </c>
      <c r="N78" s="9" t="n">
        <v>101312.01</v>
      </c>
      <c r="O78" s="9" t="n">
        <v>17531.12</v>
      </c>
      <c r="P78" s="9" t="n">
        <v>4278.63</v>
      </c>
      <c r="Q78" s="9">
        <f>O78-P78</f>
        <v/>
      </c>
      <c r="R78" s="3">
        <f>IFERROR(VLOOKUP(F78,'Currency to EUR'!$A$2:$B$9,2,FALSE),NA())</f>
        <v/>
      </c>
      <c r="S78" s="9">
        <f>I78*R78</f>
        <v/>
      </c>
      <c r="T78" s="9">
        <f>J78*R78</f>
        <v/>
      </c>
      <c r="U78" s="9">
        <f>K78*R78</f>
        <v/>
      </c>
      <c r="V78" s="9">
        <f>L78*R78</f>
        <v/>
      </c>
      <c r="W78" s="9">
        <f>M78*R78</f>
        <v/>
      </c>
      <c r="X78" s="9">
        <f>N78*R78</f>
        <v/>
      </c>
      <c r="Y78" s="9">
        <f>O78*R78</f>
        <v/>
      </c>
      <c r="Z78" s="9">
        <f>P78*R78</f>
        <v/>
      </c>
      <c r="AA78" s="9">
        <f>Y78-Z78</f>
        <v/>
      </c>
      <c r="AB78" s="10">
        <f>IFERROR(S78/W78,0)</f>
        <v/>
      </c>
    </row>
    <row r="79">
      <c r="A79" s="2" t="n">
        <v>60032</v>
      </c>
      <c r="B79" s="2" t="inlineStr">
        <is>
          <t>PEREZ Sofia</t>
        </is>
      </c>
      <c r="C79" s="2" t="inlineStr">
        <is>
          <t>Experienced manager</t>
        </is>
      </c>
      <c r="D79" s="2" t="inlineStr">
        <is>
          <t>In</t>
        </is>
      </c>
      <c r="E79" s="2" t="inlineStr">
        <is>
          <t>Spain</t>
        </is>
      </c>
      <c r="F79" s="2" t="inlineStr">
        <is>
          <t>EUR</t>
        </is>
      </c>
      <c r="G79" s="8" t="n">
        <v>46023</v>
      </c>
      <c r="H79" s="8" t="n">
        <v>46387</v>
      </c>
      <c r="I79" s="9" t="n">
        <v>10801.86</v>
      </c>
      <c r="J79" s="9" t="n">
        <v>7933.98</v>
      </c>
      <c r="K79" s="9" t="n">
        <v>2867.88</v>
      </c>
      <c r="L79" s="9" t="n">
        <v>33417.57</v>
      </c>
      <c r="M79" s="9" t="n">
        <v>11139.19</v>
      </c>
      <c r="N79" s="9" t="n">
        <v>54746.23</v>
      </c>
      <c r="O79" s="9" t="n">
        <v>8893.049999999999</v>
      </c>
      <c r="P79" s="9" t="n">
        <v>608.61</v>
      </c>
      <c r="Q79" s="9">
        <f>O79-P79</f>
        <v/>
      </c>
      <c r="R79" s="3">
        <f>IFERROR(VLOOKUP(F79,'Currency to EUR'!$A$2:$B$9,2,FALSE),NA())</f>
        <v/>
      </c>
      <c r="S79" s="9">
        <f>I79*R79</f>
        <v/>
      </c>
      <c r="T79" s="9">
        <f>J79*R79</f>
        <v/>
      </c>
      <c r="U79" s="9">
        <f>K79*R79</f>
        <v/>
      </c>
      <c r="V79" s="9">
        <f>L79*R79</f>
        <v/>
      </c>
      <c r="W79" s="9">
        <f>M79*R79</f>
        <v/>
      </c>
      <c r="X79" s="9">
        <f>N79*R79</f>
        <v/>
      </c>
      <c r="Y79" s="9">
        <f>O79*R79</f>
        <v/>
      </c>
      <c r="Z79" s="9">
        <f>P79*R79</f>
        <v/>
      </c>
      <c r="AA79" s="9">
        <f>Y79-Z79</f>
        <v/>
      </c>
      <c r="AB79" s="10">
        <f>IFERROR(S79/W79,0)</f>
        <v/>
      </c>
    </row>
    <row r="80">
      <c r="A80" s="2" t="n">
        <v>60033</v>
      </c>
      <c r="B80" s="2" t="inlineStr">
        <is>
          <t>GOMEZ Miguel</t>
        </is>
      </c>
      <c r="C80" s="2" t="inlineStr">
        <is>
          <t>Experienced manager</t>
        </is>
      </c>
      <c r="D80" s="2" t="inlineStr">
        <is>
          <t>In</t>
        </is>
      </c>
      <c r="E80" s="2" t="inlineStr">
        <is>
          <t>Spain</t>
        </is>
      </c>
      <c r="F80" s="2" t="inlineStr">
        <is>
          <t>EUR</t>
        </is>
      </c>
      <c r="G80" s="8" t="n">
        <v>46023</v>
      </c>
      <c r="H80" s="8" t="n">
        <v>46387</v>
      </c>
      <c r="I80" s="9" t="n">
        <v>10142.66</v>
      </c>
      <c r="J80" s="9" t="n">
        <v>8697.57</v>
      </c>
      <c r="K80" s="9" t="n">
        <v>1445.09</v>
      </c>
      <c r="L80" s="9" t="n">
        <v>33279.15</v>
      </c>
      <c r="M80" s="9" t="n">
        <v>11093.05</v>
      </c>
      <c r="N80" s="9" t="n">
        <v>34461.83</v>
      </c>
      <c r="O80" s="9" t="n">
        <v>5421.639999999999</v>
      </c>
      <c r="P80" s="9" t="n">
        <v>2112.48</v>
      </c>
      <c r="Q80" s="9">
        <f>O80-P80</f>
        <v/>
      </c>
      <c r="R80" s="3">
        <f>IFERROR(VLOOKUP(F80,'Currency to EUR'!$A$2:$B$9,2,FALSE),NA())</f>
        <v/>
      </c>
      <c r="S80" s="9">
        <f>I80*R80</f>
        <v/>
      </c>
      <c r="T80" s="9">
        <f>J80*R80</f>
        <v/>
      </c>
      <c r="U80" s="9">
        <f>K80*R80</f>
        <v/>
      </c>
      <c r="V80" s="9">
        <f>L80*R80</f>
        <v/>
      </c>
      <c r="W80" s="9">
        <f>M80*R80</f>
        <v/>
      </c>
      <c r="X80" s="9">
        <f>N80*R80</f>
        <v/>
      </c>
      <c r="Y80" s="9">
        <f>O80*R80</f>
        <v/>
      </c>
      <c r="Z80" s="9">
        <f>P80*R80</f>
        <v/>
      </c>
      <c r="AA80" s="9">
        <f>Y80-Z80</f>
        <v/>
      </c>
      <c r="AB80" s="10">
        <f>IFERROR(S80/W80,0)</f>
        <v/>
      </c>
    </row>
    <row r="81">
      <c r="A81" s="2" t="n">
        <v>60034</v>
      </c>
      <c r="B81" s="2" t="inlineStr">
        <is>
          <t>MARTIN Elena</t>
        </is>
      </c>
      <c r="C81" s="2" t="inlineStr">
        <is>
          <t>Manager</t>
        </is>
      </c>
      <c r="D81" s="2" t="inlineStr">
        <is>
          <t>In</t>
        </is>
      </c>
      <c r="E81" s="2" t="inlineStr">
        <is>
          <t>Spain</t>
        </is>
      </c>
      <c r="F81" s="2" t="inlineStr">
        <is>
          <t>EUR</t>
        </is>
      </c>
      <c r="G81" s="8" t="n">
        <v>46023</v>
      </c>
      <c r="H81" s="8" t="n">
        <v>46387</v>
      </c>
      <c r="I81" s="9" t="n">
        <v>7906.44</v>
      </c>
      <c r="J81" s="9" t="n">
        <v>6705.39</v>
      </c>
      <c r="K81" s="9" t="n">
        <v>1201.05</v>
      </c>
      <c r="L81" s="9" t="n">
        <v>30300.39</v>
      </c>
      <c r="M81" s="9" t="n">
        <v>10100.13</v>
      </c>
      <c r="N81" s="9" t="n">
        <v>17156.92</v>
      </c>
      <c r="O81" s="9" t="n">
        <v>2483.63</v>
      </c>
      <c r="P81" s="9" t="n">
        <v>219.08</v>
      </c>
      <c r="Q81" s="9">
        <f>O81-P81</f>
        <v/>
      </c>
      <c r="R81" s="3">
        <f>IFERROR(VLOOKUP(F81,'Currency to EUR'!$A$2:$B$9,2,FALSE),NA())</f>
        <v/>
      </c>
      <c r="S81" s="9">
        <f>I81*R81</f>
        <v/>
      </c>
      <c r="T81" s="9">
        <f>J81*R81</f>
        <v/>
      </c>
      <c r="U81" s="9">
        <f>K81*R81</f>
        <v/>
      </c>
      <c r="V81" s="9">
        <f>L81*R81</f>
        <v/>
      </c>
      <c r="W81" s="9">
        <f>M81*R81</f>
        <v/>
      </c>
      <c r="X81" s="9">
        <f>N81*R81</f>
        <v/>
      </c>
      <c r="Y81" s="9">
        <f>O81*R81</f>
        <v/>
      </c>
      <c r="Z81" s="9">
        <f>P81*R81</f>
        <v/>
      </c>
      <c r="AA81" s="9">
        <f>Y81-Z81</f>
        <v/>
      </c>
      <c r="AB81" s="10">
        <f>IFERROR(S81/W81,0)</f>
        <v/>
      </c>
    </row>
    <row r="82">
      <c r="A82" s="2" t="n">
        <v>60035</v>
      </c>
      <c r="B82" s="2" t="inlineStr">
        <is>
          <t>JIMENEZ Pablo</t>
        </is>
      </c>
      <c r="C82" s="2" t="inlineStr">
        <is>
          <t>Experienced manager</t>
        </is>
      </c>
      <c r="D82" s="2" t="inlineStr">
        <is>
          <t>In</t>
        </is>
      </c>
      <c r="E82" s="2" t="inlineStr">
        <is>
          <t>Spain</t>
        </is>
      </c>
      <c r="F82" s="2" t="inlineStr">
        <is>
          <t>EUR</t>
        </is>
      </c>
      <c r="G82" s="8" t="n">
        <v>46023</v>
      </c>
      <c r="H82" s="8" t="n">
        <v>46387</v>
      </c>
      <c r="I82" s="9" t="n">
        <v>10084.54</v>
      </c>
      <c r="J82" s="9" t="n">
        <v>7519.06</v>
      </c>
      <c r="K82" s="9" t="n">
        <v>2565.48</v>
      </c>
      <c r="L82" s="9" t="n">
        <v>34968.5</v>
      </c>
      <c r="M82" s="9" t="n">
        <v>11656.17</v>
      </c>
      <c r="N82" s="9" t="n">
        <v>20634.66</v>
      </c>
      <c r="O82" s="9" t="n">
        <v>3258.83</v>
      </c>
      <c r="P82" s="9" t="n">
        <v>0</v>
      </c>
      <c r="Q82" s="9">
        <f>O82-P82</f>
        <v/>
      </c>
      <c r="R82" s="3">
        <f>IFERROR(VLOOKUP(F82,'Currency to EUR'!$A$2:$B$9,2,FALSE),NA())</f>
        <v/>
      </c>
      <c r="S82" s="9">
        <f>I82*R82</f>
        <v/>
      </c>
      <c r="T82" s="9">
        <f>J82*R82</f>
        <v/>
      </c>
      <c r="U82" s="9">
        <f>K82*R82</f>
        <v/>
      </c>
      <c r="V82" s="9">
        <f>L82*R82</f>
        <v/>
      </c>
      <c r="W82" s="9">
        <f>M82*R82</f>
        <v/>
      </c>
      <c r="X82" s="9">
        <f>N82*R82</f>
        <v/>
      </c>
      <c r="Y82" s="9">
        <f>O82*R82</f>
        <v/>
      </c>
      <c r="Z82" s="9">
        <f>P82*R82</f>
        <v/>
      </c>
      <c r="AA82" s="9">
        <f>Y82-Z82</f>
        <v/>
      </c>
      <c r="AB82" s="10">
        <f>IFERROR(S82/W82,0)</f>
        <v/>
      </c>
    </row>
    <row r="83">
      <c r="A83" s="2" t="n">
        <v>60036</v>
      </c>
      <c r="B83" s="2" t="inlineStr">
        <is>
          <t>RUIZ Clara</t>
        </is>
      </c>
      <c r="C83" s="2" t="inlineStr">
        <is>
          <t>Senior manager</t>
        </is>
      </c>
      <c r="D83" s="2" t="inlineStr">
        <is>
          <t>In</t>
        </is>
      </c>
      <c r="E83" s="2" t="inlineStr">
        <is>
          <t>Spain</t>
        </is>
      </c>
      <c r="F83" s="2" t="inlineStr">
        <is>
          <t>EUR</t>
        </is>
      </c>
      <c r="G83" s="8" t="n">
        <v>46023</v>
      </c>
      <c r="H83" s="8" t="n">
        <v>46387</v>
      </c>
      <c r="I83" s="9" t="n">
        <v>12113.97</v>
      </c>
      <c r="J83" s="9" t="n">
        <v>10478.12</v>
      </c>
      <c r="K83" s="9" t="n">
        <v>1635.85</v>
      </c>
      <c r="L83" s="9" t="n">
        <v>40053.14</v>
      </c>
      <c r="M83" s="9" t="n">
        <v>13351.05</v>
      </c>
      <c r="N83" s="9" t="n">
        <v>129368.79</v>
      </c>
      <c r="O83" s="9" t="n">
        <v>19646.56</v>
      </c>
      <c r="P83" s="9" t="n">
        <v>1259.56</v>
      </c>
      <c r="Q83" s="9">
        <f>O83-P83</f>
        <v/>
      </c>
      <c r="R83" s="3">
        <f>IFERROR(VLOOKUP(F83,'Currency to EUR'!$A$2:$B$9,2,FALSE),NA())</f>
        <v/>
      </c>
      <c r="S83" s="9">
        <f>I83*R83</f>
        <v/>
      </c>
      <c r="T83" s="9">
        <f>J83*R83</f>
        <v/>
      </c>
      <c r="U83" s="9">
        <f>K83*R83</f>
        <v/>
      </c>
      <c r="V83" s="9">
        <f>L83*R83</f>
        <v/>
      </c>
      <c r="W83" s="9">
        <f>M83*R83</f>
        <v/>
      </c>
      <c r="X83" s="9">
        <f>N83*R83</f>
        <v/>
      </c>
      <c r="Y83" s="9">
        <f>O83*R83</f>
        <v/>
      </c>
      <c r="Z83" s="9">
        <f>P83*R83</f>
        <v/>
      </c>
      <c r="AA83" s="9">
        <f>Y83-Z83</f>
        <v/>
      </c>
      <c r="AB83" s="10">
        <f>IFERROR(S83/W83,0)</f>
        <v/>
      </c>
    </row>
    <row r="84">
      <c r="A84" s="2" t="n">
        <v>60037</v>
      </c>
      <c r="B84" s="2" t="inlineStr">
        <is>
          <t>HERNANDEZ Carlos</t>
        </is>
      </c>
      <c r="C84" s="2" t="inlineStr">
        <is>
          <t>Manager</t>
        </is>
      </c>
      <c r="D84" s="2" t="inlineStr">
        <is>
          <t>In</t>
        </is>
      </c>
      <c r="E84" s="2" t="inlineStr">
        <is>
          <t>Spain</t>
        </is>
      </c>
      <c r="F84" s="2" t="inlineStr">
        <is>
          <t>EUR</t>
        </is>
      </c>
      <c r="G84" s="8" t="n">
        <v>46023</v>
      </c>
      <c r="H84" s="8" t="n">
        <v>46387</v>
      </c>
      <c r="I84" s="9" t="n">
        <v>9378.08</v>
      </c>
      <c r="J84" s="9" t="n">
        <v>6611.95</v>
      </c>
      <c r="K84" s="9" t="n">
        <v>2766.13</v>
      </c>
      <c r="L84" s="9" t="n">
        <v>29370.14</v>
      </c>
      <c r="M84" s="9" t="n">
        <v>9790.049999999999</v>
      </c>
      <c r="N84" s="9" t="n">
        <v>25463.68</v>
      </c>
      <c r="O84" s="9" t="n">
        <v>4088.87</v>
      </c>
      <c r="P84" s="9" t="n">
        <v>37.8</v>
      </c>
      <c r="Q84" s="9">
        <f>O84-P84</f>
        <v/>
      </c>
      <c r="R84" s="3">
        <f>IFERROR(VLOOKUP(F84,'Currency to EUR'!$A$2:$B$9,2,FALSE),NA())</f>
        <v/>
      </c>
      <c r="S84" s="9">
        <f>I84*R84</f>
        <v/>
      </c>
      <c r="T84" s="9">
        <f>J84*R84</f>
        <v/>
      </c>
      <c r="U84" s="9">
        <f>K84*R84</f>
        <v/>
      </c>
      <c r="V84" s="9">
        <f>L84*R84</f>
        <v/>
      </c>
      <c r="W84" s="9">
        <f>M84*R84</f>
        <v/>
      </c>
      <c r="X84" s="9">
        <f>N84*R84</f>
        <v/>
      </c>
      <c r="Y84" s="9">
        <f>O84*R84</f>
        <v/>
      </c>
      <c r="Z84" s="9">
        <f>P84*R84</f>
        <v/>
      </c>
      <c r="AA84" s="9">
        <f>Y84-Z84</f>
        <v/>
      </c>
      <c r="AB84" s="10">
        <f>IFERROR(S84/W84,0)</f>
        <v/>
      </c>
    </row>
    <row r="85">
      <c r="A85" s="2" t="n">
        <v>60038</v>
      </c>
      <c r="B85" s="2" t="inlineStr">
        <is>
          <t>DIAZ Marta</t>
        </is>
      </c>
      <c r="C85" s="2" t="inlineStr">
        <is>
          <t>Experienced manager</t>
        </is>
      </c>
      <c r="D85" s="2" t="inlineStr">
        <is>
          <t>In</t>
        </is>
      </c>
      <c r="E85" s="2" t="inlineStr">
        <is>
          <t>Spain</t>
        </is>
      </c>
      <c r="F85" s="2" t="inlineStr">
        <is>
          <t>EUR</t>
        </is>
      </c>
      <c r="G85" s="8" t="n">
        <v>46023</v>
      </c>
      <c r="H85" s="8" t="n">
        <v>46387</v>
      </c>
      <c r="I85" s="9" t="n">
        <v>9295.879999999999</v>
      </c>
      <c r="J85" s="9" t="n">
        <v>7745.66</v>
      </c>
      <c r="K85" s="9" t="n">
        <v>1550.22</v>
      </c>
      <c r="L85" s="9" t="n">
        <v>32718.07</v>
      </c>
      <c r="M85" s="9" t="n">
        <v>10906.02</v>
      </c>
      <c r="N85" s="9" t="n">
        <v>91812.7</v>
      </c>
      <c r="O85" s="9" t="n">
        <v>14493.81</v>
      </c>
      <c r="P85" s="9" t="n">
        <v>7212.36</v>
      </c>
      <c r="Q85" s="9">
        <f>O85-P85</f>
        <v/>
      </c>
      <c r="R85" s="3">
        <f>IFERROR(VLOOKUP(F85,'Currency to EUR'!$A$2:$B$9,2,FALSE),NA())</f>
        <v/>
      </c>
      <c r="S85" s="9">
        <f>I85*R85</f>
        <v/>
      </c>
      <c r="T85" s="9">
        <f>J85*R85</f>
        <v/>
      </c>
      <c r="U85" s="9">
        <f>K85*R85</f>
        <v/>
      </c>
      <c r="V85" s="9">
        <f>L85*R85</f>
        <v/>
      </c>
      <c r="W85" s="9">
        <f>M85*R85</f>
        <v/>
      </c>
      <c r="X85" s="9">
        <f>N85*R85</f>
        <v/>
      </c>
      <c r="Y85" s="9">
        <f>O85*R85</f>
        <v/>
      </c>
      <c r="Z85" s="9">
        <f>P85*R85</f>
        <v/>
      </c>
      <c r="AA85" s="9">
        <f>Y85-Z85</f>
        <v/>
      </c>
      <c r="AB85" s="10">
        <f>IFERROR(S85/W85,0)</f>
        <v/>
      </c>
    </row>
    <row r="86">
      <c r="A86" s="2" t="n">
        <v>60039</v>
      </c>
      <c r="B86" s="2" t="inlineStr">
        <is>
          <t>MORENO Diego</t>
        </is>
      </c>
      <c r="C86" s="2" t="inlineStr">
        <is>
          <t>Manager</t>
        </is>
      </c>
      <c r="D86" s="2" t="inlineStr">
        <is>
          <t>In</t>
        </is>
      </c>
      <c r="E86" s="2" t="inlineStr">
        <is>
          <t>Spain</t>
        </is>
      </c>
      <c r="F86" s="2" t="inlineStr">
        <is>
          <t>EUR</t>
        </is>
      </c>
      <c r="G86" s="8" t="n">
        <v>46023</v>
      </c>
      <c r="H86" s="8" t="n">
        <v>46387</v>
      </c>
      <c r="I86" s="9" t="n">
        <v>8695.440000000001</v>
      </c>
      <c r="J86" s="9" t="n">
        <v>7025.29</v>
      </c>
      <c r="K86" s="9" t="n">
        <v>1670.15</v>
      </c>
      <c r="L86" s="9" t="n">
        <v>28365.06</v>
      </c>
      <c r="M86" s="9" t="n">
        <v>9455.02</v>
      </c>
      <c r="N86" s="9" t="n">
        <v>81846.13</v>
      </c>
      <c r="O86" s="9" t="n">
        <v>13361.32</v>
      </c>
      <c r="P86" s="9" t="n">
        <v>88.09</v>
      </c>
      <c r="Q86" s="9">
        <f>O86-P86</f>
        <v/>
      </c>
      <c r="R86" s="3">
        <f>IFERROR(VLOOKUP(F86,'Currency to EUR'!$A$2:$B$9,2,FALSE),NA())</f>
        <v/>
      </c>
      <c r="S86" s="9">
        <f>I86*R86</f>
        <v/>
      </c>
      <c r="T86" s="9">
        <f>J86*R86</f>
        <v/>
      </c>
      <c r="U86" s="9">
        <f>K86*R86</f>
        <v/>
      </c>
      <c r="V86" s="9">
        <f>L86*R86</f>
        <v/>
      </c>
      <c r="W86" s="9">
        <f>M86*R86</f>
        <v/>
      </c>
      <c r="X86" s="9">
        <f>N86*R86</f>
        <v/>
      </c>
      <c r="Y86" s="9">
        <f>O86*R86</f>
        <v/>
      </c>
      <c r="Z86" s="9">
        <f>P86*R86</f>
        <v/>
      </c>
      <c r="AA86" s="9">
        <f>Y86-Z86</f>
        <v/>
      </c>
      <c r="AB86" s="10">
        <f>IFERROR(S86/W86,0)</f>
        <v/>
      </c>
    </row>
    <row r="87">
      <c r="A87" s="2" t="n">
        <v>60040</v>
      </c>
      <c r="B87" s="2" t="inlineStr">
        <is>
          <t>MUNOZ Laura</t>
        </is>
      </c>
      <c r="C87" s="2" t="inlineStr">
        <is>
          <t>Manager</t>
        </is>
      </c>
      <c r="D87" s="2" t="inlineStr">
        <is>
          <t>In</t>
        </is>
      </c>
      <c r="E87" s="2" t="inlineStr">
        <is>
          <t>Spain</t>
        </is>
      </c>
      <c r="F87" s="2" t="inlineStr">
        <is>
          <t>EUR</t>
        </is>
      </c>
      <c r="G87" s="8" t="n">
        <v>46023</v>
      </c>
      <c r="H87" s="8" t="n">
        <v>46387</v>
      </c>
      <c r="I87" s="9" t="n">
        <v>8349.35</v>
      </c>
      <c r="J87" s="9" t="n">
        <v>7178.96</v>
      </c>
      <c r="K87" s="9" t="n">
        <v>1170.39</v>
      </c>
      <c r="L87" s="9" t="n">
        <v>30348.73</v>
      </c>
      <c r="M87" s="9" t="n">
        <v>10116.24</v>
      </c>
      <c r="N87" s="9" t="n">
        <v>26498.55</v>
      </c>
      <c r="O87" s="9" t="n">
        <v>4231.09</v>
      </c>
      <c r="P87" s="9" t="n">
        <v>2152.22</v>
      </c>
      <c r="Q87" s="9">
        <f>O87-P87</f>
        <v/>
      </c>
      <c r="R87" s="3">
        <f>IFERROR(VLOOKUP(F87,'Currency to EUR'!$A$2:$B$9,2,FALSE),NA())</f>
        <v/>
      </c>
      <c r="S87" s="9">
        <f>I87*R87</f>
        <v/>
      </c>
      <c r="T87" s="9">
        <f>J87*R87</f>
        <v/>
      </c>
      <c r="U87" s="9">
        <f>K87*R87</f>
        <v/>
      </c>
      <c r="V87" s="9">
        <f>L87*R87</f>
        <v/>
      </c>
      <c r="W87" s="9">
        <f>M87*R87</f>
        <v/>
      </c>
      <c r="X87" s="9">
        <f>N87*R87</f>
        <v/>
      </c>
      <c r="Y87" s="9">
        <f>O87*R87</f>
        <v/>
      </c>
      <c r="Z87" s="9">
        <f>P87*R87</f>
        <v/>
      </c>
      <c r="AA87" s="9">
        <f>Y87-Z87</f>
        <v/>
      </c>
      <c r="AB87" s="10">
        <f>IFERROR(S87/W87,0)</f>
        <v/>
      </c>
    </row>
    <row r="88">
      <c r="A88" s="2" t="n">
        <v>60041</v>
      </c>
      <c r="B88" s="2" t="inlineStr">
        <is>
          <t>ALVAREZ Adrian</t>
        </is>
      </c>
      <c r="C88" s="2" t="inlineStr">
        <is>
          <t>Experienced manager</t>
        </is>
      </c>
      <c r="D88" s="2" t="inlineStr">
        <is>
          <t>In</t>
        </is>
      </c>
      <c r="E88" s="2" t="inlineStr">
        <is>
          <t>Spain</t>
        </is>
      </c>
      <c r="F88" s="2" t="inlineStr">
        <is>
          <t>EUR</t>
        </is>
      </c>
      <c r="G88" s="8" t="n">
        <v>46023</v>
      </c>
      <c r="H88" s="8" t="n">
        <v>46387</v>
      </c>
      <c r="I88" s="9" t="n">
        <v>9967.629999999999</v>
      </c>
      <c r="J88" s="9" t="n">
        <v>7694.87</v>
      </c>
      <c r="K88" s="9" t="n">
        <v>2272.76</v>
      </c>
      <c r="L88" s="9" t="n">
        <v>34572.67</v>
      </c>
      <c r="M88" s="9" t="n">
        <v>11524.22</v>
      </c>
      <c r="N88" s="9" t="n">
        <v>78573.5</v>
      </c>
      <c r="O88" s="9" t="n">
        <v>12508.73</v>
      </c>
      <c r="P88" s="9" t="n">
        <v>2942.69</v>
      </c>
      <c r="Q88" s="9">
        <f>O88-P88</f>
        <v/>
      </c>
      <c r="R88" s="3">
        <f>IFERROR(VLOOKUP(F88,'Currency to EUR'!$A$2:$B$9,2,FALSE),NA())</f>
        <v/>
      </c>
      <c r="S88" s="9">
        <f>I88*R88</f>
        <v/>
      </c>
      <c r="T88" s="9">
        <f>J88*R88</f>
        <v/>
      </c>
      <c r="U88" s="9">
        <f>K88*R88</f>
        <v/>
      </c>
      <c r="V88" s="9">
        <f>L88*R88</f>
        <v/>
      </c>
      <c r="W88" s="9">
        <f>M88*R88</f>
        <v/>
      </c>
      <c r="X88" s="9">
        <f>N88*R88</f>
        <v/>
      </c>
      <c r="Y88" s="9">
        <f>O88*R88</f>
        <v/>
      </c>
      <c r="Z88" s="9">
        <f>P88*R88</f>
        <v/>
      </c>
      <c r="AA88" s="9">
        <f>Y88-Z88</f>
        <v/>
      </c>
      <c r="AB88" s="10">
        <f>IFERROR(S88/W88,0)</f>
        <v/>
      </c>
    </row>
    <row r="89">
      <c r="A89" s="2" t="n">
        <v>60188</v>
      </c>
      <c r="B89" s="2" t="inlineStr">
        <is>
          <t>CASTRO Alba</t>
        </is>
      </c>
      <c r="C89" s="2" t="inlineStr">
        <is>
          <t>Manager</t>
        </is>
      </c>
      <c r="D89" s="2" t="inlineStr">
        <is>
          <t>In</t>
        </is>
      </c>
      <c r="E89" s="2" t="inlineStr">
        <is>
          <t>Spain</t>
        </is>
      </c>
      <c r="F89" s="2" t="inlineStr">
        <is>
          <t>EUR</t>
        </is>
      </c>
      <c r="G89" s="8" t="n">
        <v>46023</v>
      </c>
      <c r="H89" s="8" t="n">
        <v>46387</v>
      </c>
      <c r="I89" s="9" t="n">
        <v>8472.540000000001</v>
      </c>
      <c r="J89" s="9" t="n">
        <v>5806.18</v>
      </c>
      <c r="K89" s="9" t="n">
        <v>2666.37</v>
      </c>
      <c r="L89" s="9" t="n">
        <v>27980.72</v>
      </c>
      <c r="M89" s="9" t="n">
        <v>9326.91</v>
      </c>
      <c r="N89" s="9" t="n">
        <v>25589.86</v>
      </c>
      <c r="O89" s="9" t="n">
        <v>4707.41</v>
      </c>
      <c r="P89" s="9" t="n">
        <v>2215.67</v>
      </c>
      <c r="Q89" s="9">
        <f>O89-P89</f>
        <v/>
      </c>
      <c r="R89" s="3">
        <f>IFERROR(VLOOKUP(F89,'Currency to EUR'!$A$2:$B$9,2,FALSE),NA())</f>
        <v/>
      </c>
      <c r="S89" s="9">
        <f>I89*R89</f>
        <v/>
      </c>
      <c r="T89" s="9">
        <f>J89*R89</f>
        <v/>
      </c>
      <c r="U89" s="9">
        <f>K89*R89</f>
        <v/>
      </c>
      <c r="V89" s="9">
        <f>L89*R89</f>
        <v/>
      </c>
      <c r="W89" s="9">
        <f>M89*R89</f>
        <v/>
      </c>
      <c r="X89" s="9">
        <f>N89*R89</f>
        <v/>
      </c>
      <c r="Y89" s="9">
        <f>O89*R89</f>
        <v/>
      </c>
      <c r="Z89" s="9">
        <f>P89*R89</f>
        <v/>
      </c>
      <c r="AA89" s="9">
        <f>Y89-Z89</f>
        <v/>
      </c>
      <c r="AB89" s="10">
        <f>IFERROR(S89/W89,0)</f>
        <v/>
      </c>
    </row>
    <row r="90">
      <c r="A90" s="2" t="n">
        <v>60189</v>
      </c>
      <c r="B90" s="2" t="inlineStr">
        <is>
          <t>ORTEGA Hugo</t>
        </is>
      </c>
      <c r="C90" s="2" t="inlineStr">
        <is>
          <t>Experienced manager</t>
        </is>
      </c>
      <c r="D90" s="2" t="inlineStr">
        <is>
          <t>In</t>
        </is>
      </c>
      <c r="E90" s="2" t="inlineStr">
        <is>
          <t>Spain</t>
        </is>
      </c>
      <c r="F90" s="2" t="inlineStr">
        <is>
          <t>EUR</t>
        </is>
      </c>
      <c r="G90" s="8" t="n">
        <v>46023</v>
      </c>
      <c r="H90" s="8" t="n">
        <v>46387</v>
      </c>
      <c r="I90" s="9" t="n">
        <v>10238.38</v>
      </c>
      <c r="J90" s="9" t="n">
        <v>8530.99</v>
      </c>
      <c r="K90" s="9" t="n">
        <v>1707.4</v>
      </c>
      <c r="L90" s="9" t="n">
        <v>33451.08</v>
      </c>
      <c r="M90" s="9" t="n">
        <v>11150.36</v>
      </c>
      <c r="N90" s="9" t="n">
        <v>101432.09</v>
      </c>
      <c r="O90" s="9" t="n">
        <v>16091.31</v>
      </c>
      <c r="P90" s="9" t="n">
        <v>233.01</v>
      </c>
      <c r="Q90" s="9">
        <f>O90-P90</f>
        <v/>
      </c>
      <c r="R90" s="3">
        <f>IFERROR(VLOOKUP(F90,'Currency to EUR'!$A$2:$B$9,2,FALSE),NA())</f>
        <v/>
      </c>
      <c r="S90" s="9">
        <f>I90*R90</f>
        <v/>
      </c>
      <c r="T90" s="9">
        <f>J90*R90</f>
        <v/>
      </c>
      <c r="U90" s="9">
        <f>K90*R90</f>
        <v/>
      </c>
      <c r="V90" s="9">
        <f>L90*R90</f>
        <v/>
      </c>
      <c r="W90" s="9">
        <f>M90*R90</f>
        <v/>
      </c>
      <c r="X90" s="9">
        <f>N90*R90</f>
        <v/>
      </c>
      <c r="Y90" s="9">
        <f>O90*R90</f>
        <v/>
      </c>
      <c r="Z90" s="9">
        <f>P90*R90</f>
        <v/>
      </c>
      <c r="AA90" s="9">
        <f>Y90-Z90</f>
        <v/>
      </c>
      <c r="AB90" s="10">
        <f>IFERROR(S90/W90,0)</f>
        <v/>
      </c>
    </row>
    <row r="91">
      <c r="A91" s="2" t="n">
        <v>60190</v>
      </c>
      <c r="B91" s="2" t="inlineStr">
        <is>
          <t>DELGADO Irene</t>
        </is>
      </c>
      <c r="C91" s="2" t="inlineStr">
        <is>
          <t>Experienced manager</t>
        </is>
      </c>
      <c r="D91" s="2" t="inlineStr">
        <is>
          <t>In</t>
        </is>
      </c>
      <c r="E91" s="2" t="inlineStr">
        <is>
          <t>Spain</t>
        </is>
      </c>
      <c r="F91" s="2" t="inlineStr">
        <is>
          <t>EUR</t>
        </is>
      </c>
      <c r="G91" s="8" t="n">
        <v>46023</v>
      </c>
      <c r="H91" s="8" t="n">
        <v>46387</v>
      </c>
      <c r="I91" s="9" t="n">
        <v>9256.18</v>
      </c>
      <c r="J91" s="9" t="n">
        <v>6867.97</v>
      </c>
      <c r="K91" s="9" t="n">
        <v>2388.21</v>
      </c>
      <c r="L91" s="9" t="n">
        <v>32671.36</v>
      </c>
      <c r="M91" s="9" t="n">
        <v>10890.45</v>
      </c>
      <c r="N91" s="9" t="n">
        <v>3417.729999999996</v>
      </c>
      <c r="O91" s="9" t="n">
        <v>209.1599999999999</v>
      </c>
      <c r="P91" s="9" t="n">
        <v>107.81</v>
      </c>
      <c r="Q91" s="9">
        <f>O91-P91</f>
        <v/>
      </c>
      <c r="R91" s="3">
        <f>IFERROR(VLOOKUP(F91,'Currency to EUR'!$A$2:$B$9,2,FALSE),NA())</f>
        <v/>
      </c>
      <c r="S91" s="9">
        <f>I91*R91</f>
        <v/>
      </c>
      <c r="T91" s="9">
        <f>J91*R91</f>
        <v/>
      </c>
      <c r="U91" s="9">
        <f>K91*R91</f>
        <v/>
      </c>
      <c r="V91" s="9">
        <f>L91*R91</f>
        <v/>
      </c>
      <c r="W91" s="9">
        <f>M91*R91</f>
        <v/>
      </c>
      <c r="X91" s="9">
        <f>N91*R91</f>
        <v/>
      </c>
      <c r="Y91" s="9">
        <f>O91*R91</f>
        <v/>
      </c>
      <c r="Z91" s="9">
        <f>P91*R91</f>
        <v/>
      </c>
      <c r="AA91" s="9">
        <f>Y91-Z91</f>
        <v/>
      </c>
      <c r="AB91" s="10">
        <f>IFERROR(S91/W91,0)</f>
        <v/>
      </c>
    </row>
    <row r="92">
      <c r="A92" s="2" t="n">
        <v>60191</v>
      </c>
      <c r="B92" s="2" t="inlineStr">
        <is>
          <t>VEGA Raul</t>
        </is>
      </c>
      <c r="C92" s="2" t="inlineStr">
        <is>
          <t>Experienced manager</t>
        </is>
      </c>
      <c r="D92" s="2" t="inlineStr">
        <is>
          <t>In</t>
        </is>
      </c>
      <c r="E92" s="2" t="inlineStr">
        <is>
          <t>Spain</t>
        </is>
      </c>
      <c r="F92" s="2" t="inlineStr">
        <is>
          <t>EUR</t>
        </is>
      </c>
      <c r="G92" s="8" t="n">
        <v>46023</v>
      </c>
      <c r="H92" s="8" t="n">
        <v>46387</v>
      </c>
      <c r="I92" s="9" t="n">
        <v>8978.48</v>
      </c>
      <c r="J92" s="9" t="n">
        <v>6694.38</v>
      </c>
      <c r="K92" s="9" t="n">
        <v>2284.1</v>
      </c>
      <c r="L92" s="9" t="n">
        <v>32565.6</v>
      </c>
      <c r="M92" s="9" t="n">
        <v>10855.2</v>
      </c>
      <c r="N92" s="9" t="n">
        <v>71084.60000000001</v>
      </c>
      <c r="O92" s="9" t="n">
        <v>11731.52</v>
      </c>
      <c r="P92" s="9" t="n">
        <v>6138.32</v>
      </c>
      <c r="Q92" s="9">
        <f>O92-P92</f>
        <v/>
      </c>
      <c r="R92" s="3">
        <f>IFERROR(VLOOKUP(F92,'Currency to EUR'!$A$2:$B$9,2,FALSE),NA())</f>
        <v/>
      </c>
      <c r="S92" s="9">
        <f>I92*R92</f>
        <v/>
      </c>
      <c r="T92" s="9">
        <f>J92*R92</f>
        <v/>
      </c>
      <c r="U92" s="9">
        <f>K92*R92</f>
        <v/>
      </c>
      <c r="V92" s="9">
        <f>L92*R92</f>
        <v/>
      </c>
      <c r="W92" s="9">
        <f>M92*R92</f>
        <v/>
      </c>
      <c r="X92" s="9">
        <f>N92*R92</f>
        <v/>
      </c>
      <c r="Y92" s="9">
        <f>O92*R92</f>
        <v/>
      </c>
      <c r="Z92" s="9">
        <f>P92*R92</f>
        <v/>
      </c>
      <c r="AA92" s="9">
        <f>Y92-Z92</f>
        <v/>
      </c>
      <c r="AB92" s="10">
        <f>IFERROR(S92/W92,0)</f>
        <v/>
      </c>
    </row>
    <row r="93">
      <c r="A93" s="2" t="n">
        <v>60192</v>
      </c>
      <c r="B93" s="2" t="inlineStr">
        <is>
          <t>RAMOS Natalia</t>
        </is>
      </c>
      <c r="C93" s="2" t="inlineStr">
        <is>
          <t>Experienced manager</t>
        </is>
      </c>
      <c r="D93" s="2" t="inlineStr">
        <is>
          <t>In</t>
        </is>
      </c>
      <c r="E93" s="2" t="inlineStr">
        <is>
          <t>Spain</t>
        </is>
      </c>
      <c r="F93" s="2" t="inlineStr">
        <is>
          <t>EUR</t>
        </is>
      </c>
      <c r="G93" s="8" t="n">
        <v>46023</v>
      </c>
      <c r="H93" s="8" t="n">
        <v>46387</v>
      </c>
      <c r="I93" s="9" t="n">
        <v>8536.24</v>
      </c>
      <c r="J93" s="9" t="n">
        <v>7112.7</v>
      </c>
      <c r="K93" s="9" t="n">
        <v>1423.54</v>
      </c>
      <c r="L93" s="9" t="n">
        <v>33019.69</v>
      </c>
      <c r="M93" s="9" t="n">
        <v>11006.56</v>
      </c>
      <c r="N93" s="9" t="n">
        <v>111448.59</v>
      </c>
      <c r="O93" s="9" t="n">
        <v>19285.16</v>
      </c>
      <c r="P93" s="9" t="n">
        <v>5487.91</v>
      </c>
      <c r="Q93" s="9">
        <f>O93-P93</f>
        <v/>
      </c>
      <c r="R93" s="3">
        <f>IFERROR(VLOOKUP(F93,'Currency to EUR'!$A$2:$B$9,2,FALSE),NA())</f>
        <v/>
      </c>
      <c r="S93" s="9">
        <f>I93*R93</f>
        <v/>
      </c>
      <c r="T93" s="9">
        <f>J93*R93</f>
        <v/>
      </c>
      <c r="U93" s="9">
        <f>K93*R93</f>
        <v/>
      </c>
      <c r="V93" s="9">
        <f>L93*R93</f>
        <v/>
      </c>
      <c r="W93" s="9">
        <f>M93*R93</f>
        <v/>
      </c>
      <c r="X93" s="9">
        <f>N93*R93</f>
        <v/>
      </c>
      <c r="Y93" s="9">
        <f>O93*R93</f>
        <v/>
      </c>
      <c r="Z93" s="9">
        <f>P93*R93</f>
        <v/>
      </c>
      <c r="AA93" s="9">
        <f>Y93-Z93</f>
        <v/>
      </c>
      <c r="AB93" s="10">
        <f>IFERROR(S93/W93,0)</f>
        <v/>
      </c>
    </row>
    <row r="94">
      <c r="A94" s="2" t="n">
        <v>60193</v>
      </c>
      <c r="B94" s="2" t="inlineStr">
        <is>
          <t>CRUZ Sergio</t>
        </is>
      </c>
      <c r="C94" s="2" t="inlineStr">
        <is>
          <t>Experienced manager</t>
        </is>
      </c>
      <c r="D94" s="2" t="inlineStr">
        <is>
          <t>In</t>
        </is>
      </c>
      <c r="E94" s="2" t="inlineStr">
        <is>
          <t>Spain</t>
        </is>
      </c>
      <c r="F94" s="2" t="inlineStr">
        <is>
          <t>EUR</t>
        </is>
      </c>
      <c r="G94" s="8" t="n">
        <v>46023</v>
      </c>
      <c r="H94" s="8" t="n">
        <v>46387</v>
      </c>
      <c r="I94" s="9" t="n">
        <v>9031.799999999999</v>
      </c>
      <c r="J94" s="9" t="n">
        <v>7744.98</v>
      </c>
      <c r="K94" s="9" t="n">
        <v>1286.82</v>
      </c>
      <c r="L94" s="9" t="n">
        <v>35126.63</v>
      </c>
      <c r="M94" s="9" t="n">
        <v>11708.88</v>
      </c>
      <c r="N94" s="9" t="n">
        <v>57467.63</v>
      </c>
      <c r="O94" s="9" t="n">
        <v>9335.119999999999</v>
      </c>
      <c r="P94" s="9" t="n">
        <v>1957.55</v>
      </c>
      <c r="Q94" s="9">
        <f>O94-P94</f>
        <v/>
      </c>
      <c r="R94" s="3">
        <f>IFERROR(VLOOKUP(F94,'Currency to EUR'!$A$2:$B$9,2,FALSE),NA())</f>
        <v/>
      </c>
      <c r="S94" s="9">
        <f>I94*R94</f>
        <v/>
      </c>
      <c r="T94" s="9">
        <f>J94*R94</f>
        <v/>
      </c>
      <c r="U94" s="9">
        <f>K94*R94</f>
        <v/>
      </c>
      <c r="V94" s="9">
        <f>L94*R94</f>
        <v/>
      </c>
      <c r="W94" s="9">
        <f>M94*R94</f>
        <v/>
      </c>
      <c r="X94" s="9">
        <f>N94*R94</f>
        <v/>
      </c>
      <c r="Y94" s="9">
        <f>O94*R94</f>
        <v/>
      </c>
      <c r="Z94" s="9">
        <f>P94*R94</f>
        <v/>
      </c>
      <c r="AA94" s="9">
        <f>Y94-Z94</f>
        <v/>
      </c>
      <c r="AB94" s="10">
        <f>IFERROR(S94/W94,0)</f>
        <v/>
      </c>
    </row>
    <row r="95">
      <c r="A95" s="2" t="n">
        <v>60194</v>
      </c>
      <c r="B95" s="2" t="inlineStr">
        <is>
          <t>PASCUAL Alicia</t>
        </is>
      </c>
      <c r="C95" s="2" t="inlineStr">
        <is>
          <t>Experienced manager</t>
        </is>
      </c>
      <c r="D95" s="2" t="inlineStr">
        <is>
          <t>In</t>
        </is>
      </c>
      <c r="E95" s="2" t="inlineStr">
        <is>
          <t>Spain</t>
        </is>
      </c>
      <c r="F95" s="2" t="inlineStr">
        <is>
          <t>EUR</t>
        </is>
      </c>
      <c r="G95" s="8" t="n">
        <v>46023</v>
      </c>
      <c r="H95" s="8" t="n">
        <v>46387</v>
      </c>
      <c r="I95" s="9" t="n">
        <v>8686.66</v>
      </c>
      <c r="J95" s="9" t="n">
        <v>7238.04</v>
      </c>
      <c r="K95" s="9" t="n">
        <v>1448.62</v>
      </c>
      <c r="L95" s="9" t="n">
        <v>33607.56</v>
      </c>
      <c r="M95" s="9" t="n">
        <v>11202.52</v>
      </c>
      <c r="N95" s="9" t="n">
        <v>31365.64</v>
      </c>
      <c r="O95" s="9" t="n">
        <v>4934.53</v>
      </c>
      <c r="P95" s="9" t="n">
        <v>147.06</v>
      </c>
      <c r="Q95" s="9">
        <f>O95-P95</f>
        <v/>
      </c>
      <c r="R95" s="3">
        <f>IFERROR(VLOOKUP(F95,'Currency to EUR'!$A$2:$B$9,2,FALSE),NA())</f>
        <v/>
      </c>
      <c r="S95" s="9">
        <f>I95*R95</f>
        <v/>
      </c>
      <c r="T95" s="9">
        <f>J95*R95</f>
        <v/>
      </c>
      <c r="U95" s="9">
        <f>K95*R95</f>
        <v/>
      </c>
      <c r="V95" s="9">
        <f>L95*R95</f>
        <v/>
      </c>
      <c r="W95" s="9">
        <f>M95*R95</f>
        <v/>
      </c>
      <c r="X95" s="9">
        <f>N95*R95</f>
        <v/>
      </c>
      <c r="Y95" s="9">
        <f>O95*R95</f>
        <v/>
      </c>
      <c r="Z95" s="9">
        <f>P95*R95</f>
        <v/>
      </c>
      <c r="AA95" s="9">
        <f>Y95-Z95</f>
        <v/>
      </c>
      <c r="AB95" s="10">
        <f>IFERROR(S95/W95,0)</f>
        <v/>
      </c>
    </row>
    <row r="96">
      <c r="A96" s="2" t="n">
        <v>60195</v>
      </c>
      <c r="B96" s="2" t="inlineStr">
        <is>
          <t>MOLINA Bruno</t>
        </is>
      </c>
      <c r="C96" s="2" t="inlineStr">
        <is>
          <t>Manager</t>
        </is>
      </c>
      <c r="D96" s="2" t="inlineStr">
        <is>
          <t>In</t>
        </is>
      </c>
      <c r="E96" s="2" t="inlineStr">
        <is>
          <t>Spain</t>
        </is>
      </c>
      <c r="F96" s="2" t="inlineStr">
        <is>
          <t>EUR</t>
        </is>
      </c>
      <c r="G96" s="8" t="n">
        <v>46023</v>
      </c>
      <c r="H96" s="8" t="n">
        <v>46387</v>
      </c>
      <c r="I96" s="9" t="n">
        <v>7528.44</v>
      </c>
      <c r="J96" s="9" t="n">
        <v>6473.12</v>
      </c>
      <c r="K96" s="9" t="n">
        <v>1055.32</v>
      </c>
      <c r="L96" s="9" t="n">
        <v>27757.14</v>
      </c>
      <c r="M96" s="9" t="n">
        <v>9252.379999999999</v>
      </c>
      <c r="N96" s="9" t="n">
        <v>17183.77</v>
      </c>
      <c r="O96" s="9" t="n">
        <v>2487.54</v>
      </c>
      <c r="P96" s="9" t="n">
        <v>1158.68</v>
      </c>
      <c r="Q96" s="9">
        <f>O96-P96</f>
        <v/>
      </c>
      <c r="R96" s="3">
        <f>IFERROR(VLOOKUP(F96,'Currency to EUR'!$A$2:$B$9,2,FALSE),NA())</f>
        <v/>
      </c>
      <c r="S96" s="9">
        <f>I96*R96</f>
        <v/>
      </c>
      <c r="T96" s="9">
        <f>J96*R96</f>
        <v/>
      </c>
      <c r="U96" s="9">
        <f>K96*R96</f>
        <v/>
      </c>
      <c r="V96" s="9">
        <f>L96*R96</f>
        <v/>
      </c>
      <c r="W96" s="9">
        <f>M96*R96</f>
        <v/>
      </c>
      <c r="X96" s="9">
        <f>N96*R96</f>
        <v/>
      </c>
      <c r="Y96" s="9">
        <f>O96*R96</f>
        <v/>
      </c>
      <c r="Z96" s="9">
        <f>P96*R96</f>
        <v/>
      </c>
      <c r="AA96" s="9">
        <f>Y96-Z96</f>
        <v/>
      </c>
      <c r="AB96" s="10">
        <f>IFERROR(S96/W96,0)</f>
        <v/>
      </c>
    </row>
    <row r="97">
      <c r="A97" s="2" t="n">
        <v>60042</v>
      </c>
      <c r="B97" s="2" t="inlineStr">
        <is>
          <t>MARTIN Olivia</t>
        </is>
      </c>
      <c r="C97" s="2" t="inlineStr">
        <is>
          <t>Experienced manager</t>
        </is>
      </c>
      <c r="D97" s="2" t="inlineStr">
        <is>
          <t>In</t>
        </is>
      </c>
      <c r="E97" s="2" t="inlineStr">
        <is>
          <t>Canada</t>
        </is>
      </c>
      <c r="F97" s="2" t="inlineStr">
        <is>
          <t>CAD</t>
        </is>
      </c>
      <c r="G97" s="8" t="n">
        <v>46023</v>
      </c>
      <c r="H97" s="8" t="n">
        <v>46387</v>
      </c>
      <c r="I97" s="9" t="n">
        <v>21069.99</v>
      </c>
      <c r="J97" s="9" t="n">
        <v>21702.09</v>
      </c>
      <c r="K97" s="9" t="n">
        <v>-632.1</v>
      </c>
      <c r="L97" s="9" t="n">
        <v>76397.14</v>
      </c>
      <c r="M97" s="9" t="n">
        <v>25465.71</v>
      </c>
      <c r="N97" s="9" t="n">
        <v>77017.95999999999</v>
      </c>
      <c r="O97" s="9" t="n">
        <v>12196.38</v>
      </c>
      <c r="P97" s="9" t="n">
        <v>50.35</v>
      </c>
      <c r="Q97" s="9">
        <f>O97-P97</f>
        <v/>
      </c>
      <c r="R97" s="3">
        <f>IFERROR(VLOOKUP(F97,'Currency to EUR'!$A$2:$B$9,2,FALSE),NA())</f>
        <v/>
      </c>
      <c r="S97" s="9">
        <f>I97*R97</f>
        <v/>
      </c>
      <c r="T97" s="9">
        <f>J97*R97</f>
        <v/>
      </c>
      <c r="U97" s="9">
        <f>K97*R97</f>
        <v/>
      </c>
      <c r="V97" s="9">
        <f>L97*R97</f>
        <v/>
      </c>
      <c r="W97" s="9">
        <f>M97*R97</f>
        <v/>
      </c>
      <c r="X97" s="9">
        <f>N97*R97</f>
        <v/>
      </c>
      <c r="Y97" s="9">
        <f>O97*R97</f>
        <v/>
      </c>
      <c r="Z97" s="9">
        <f>P97*R97</f>
        <v/>
      </c>
      <c r="AA97" s="9">
        <f>Y97-Z97</f>
        <v/>
      </c>
      <c r="AB97" s="10">
        <f>IFERROR(S97/W97,0)</f>
        <v/>
      </c>
    </row>
    <row r="98">
      <c r="A98" s="2" t="n">
        <v>60043</v>
      </c>
      <c r="B98" s="2" t="inlineStr">
        <is>
          <t>BOUCHARD Etienne</t>
        </is>
      </c>
      <c r="C98" s="2" t="inlineStr">
        <is>
          <t>Experienced manager</t>
        </is>
      </c>
      <c r="D98" s="2" t="inlineStr">
        <is>
          <t>In</t>
        </is>
      </c>
      <c r="E98" s="2" t="inlineStr">
        <is>
          <t>Canada</t>
        </is>
      </c>
      <c r="F98" s="2" t="inlineStr">
        <is>
          <t>CAD</t>
        </is>
      </c>
      <c r="G98" s="8" t="n">
        <v>46023</v>
      </c>
      <c r="H98" s="8" t="n">
        <v>46387</v>
      </c>
      <c r="I98" s="9" t="n">
        <v>23544.19</v>
      </c>
      <c r="J98" s="9" t="n">
        <v>17966.69</v>
      </c>
      <c r="K98" s="9" t="n">
        <v>5577.5</v>
      </c>
      <c r="L98" s="9" t="n">
        <v>80447.12</v>
      </c>
      <c r="M98" s="9" t="n">
        <v>26815.71</v>
      </c>
      <c r="N98" s="9" t="n">
        <v>172282.68</v>
      </c>
      <c r="O98" s="9" t="n">
        <v>27477.24</v>
      </c>
      <c r="P98" s="9" t="n">
        <v>171.65</v>
      </c>
      <c r="Q98" s="9">
        <f>O98-P98</f>
        <v/>
      </c>
      <c r="R98" s="3">
        <f>IFERROR(VLOOKUP(F98,'Currency to EUR'!$A$2:$B$9,2,FALSE),NA())</f>
        <v/>
      </c>
      <c r="S98" s="9">
        <f>I98*R98</f>
        <v/>
      </c>
      <c r="T98" s="9">
        <f>J98*R98</f>
        <v/>
      </c>
      <c r="U98" s="9">
        <f>K98*R98</f>
        <v/>
      </c>
      <c r="V98" s="9">
        <f>L98*R98</f>
        <v/>
      </c>
      <c r="W98" s="9">
        <f>M98*R98</f>
        <v/>
      </c>
      <c r="X98" s="9">
        <f>N98*R98</f>
        <v/>
      </c>
      <c r="Y98" s="9">
        <f>O98*R98</f>
        <v/>
      </c>
      <c r="Z98" s="9">
        <f>P98*R98</f>
        <v/>
      </c>
      <c r="AA98" s="9">
        <f>Y98-Z98</f>
        <v/>
      </c>
      <c r="AB98" s="10">
        <f>IFERROR(S98/W98,0)</f>
        <v/>
      </c>
    </row>
    <row r="99">
      <c r="A99" s="2" t="n">
        <v>60044</v>
      </c>
      <c r="B99" s="2" t="inlineStr">
        <is>
          <t>GAGNON Camille</t>
        </is>
      </c>
      <c r="C99" s="2" t="inlineStr">
        <is>
          <t>Manager</t>
        </is>
      </c>
      <c r="D99" s="2" t="inlineStr">
        <is>
          <t>In</t>
        </is>
      </c>
      <c r="E99" s="2" t="inlineStr">
        <is>
          <t>Canada</t>
        </is>
      </c>
      <c r="F99" s="2" t="inlineStr">
        <is>
          <t>CAD</t>
        </is>
      </c>
      <c r="G99" s="8" t="n">
        <v>46023</v>
      </c>
      <c r="H99" s="8" t="n">
        <v>46387</v>
      </c>
      <c r="I99" s="9" t="n">
        <v>16459.71</v>
      </c>
      <c r="J99" s="9" t="n">
        <v>13358.93</v>
      </c>
      <c r="K99" s="9" t="n">
        <v>3100.78</v>
      </c>
      <c r="L99" s="9" t="n">
        <v>58331.03</v>
      </c>
      <c r="M99" s="9" t="n">
        <v>19443.68</v>
      </c>
      <c r="N99" s="9" t="n">
        <v>40894.65</v>
      </c>
      <c r="O99" s="9" t="n">
        <v>6583.04</v>
      </c>
      <c r="P99" s="9" t="n">
        <v>29.51</v>
      </c>
      <c r="Q99" s="9">
        <f>O99-P99</f>
        <v/>
      </c>
      <c r="R99" s="3">
        <f>IFERROR(VLOOKUP(F99,'Currency to EUR'!$A$2:$B$9,2,FALSE),NA())</f>
        <v/>
      </c>
      <c r="S99" s="9">
        <f>I99*R99</f>
        <v/>
      </c>
      <c r="T99" s="9">
        <f>J99*R99</f>
        <v/>
      </c>
      <c r="U99" s="9">
        <f>K99*R99</f>
        <v/>
      </c>
      <c r="V99" s="9">
        <f>L99*R99</f>
        <v/>
      </c>
      <c r="W99" s="9">
        <f>M99*R99</f>
        <v/>
      </c>
      <c r="X99" s="9">
        <f>N99*R99</f>
        <v/>
      </c>
      <c r="Y99" s="9">
        <f>O99*R99</f>
        <v/>
      </c>
      <c r="Z99" s="9">
        <f>P99*R99</f>
        <v/>
      </c>
      <c r="AA99" s="9">
        <f>Y99-Z99</f>
        <v/>
      </c>
      <c r="AB99" s="10">
        <f>IFERROR(S99/W99,0)</f>
        <v/>
      </c>
    </row>
    <row r="100">
      <c r="A100" s="2" t="n">
        <v>60045</v>
      </c>
      <c r="B100" s="2" t="inlineStr">
        <is>
          <t>TREMBLAY Laurent</t>
        </is>
      </c>
      <c r="C100" s="2" t="inlineStr">
        <is>
          <t>Manager</t>
        </is>
      </c>
      <c r="D100" s="2" t="inlineStr">
        <is>
          <t>In</t>
        </is>
      </c>
      <c r="E100" s="2" t="inlineStr">
        <is>
          <t>Canada</t>
        </is>
      </c>
      <c r="F100" s="2" t="inlineStr">
        <is>
          <t>CAD</t>
        </is>
      </c>
      <c r="G100" s="8" t="n">
        <v>46023</v>
      </c>
      <c r="H100" s="8" t="n">
        <v>46387</v>
      </c>
      <c r="I100" s="9" t="n">
        <v>19336.28</v>
      </c>
      <c r="J100" s="9" t="n">
        <v>15642</v>
      </c>
      <c r="K100" s="9" t="n">
        <v>3694.28</v>
      </c>
      <c r="L100" s="9" t="n">
        <v>62375.7</v>
      </c>
      <c r="M100" s="9" t="n">
        <v>20791.9</v>
      </c>
      <c r="N100" s="9" t="n">
        <v>276699.4</v>
      </c>
      <c r="O100" s="9" t="n">
        <v>43387.24</v>
      </c>
      <c r="P100" s="9" t="n">
        <v>333.07</v>
      </c>
      <c r="Q100" s="9">
        <f>O100-P100</f>
        <v/>
      </c>
      <c r="R100" s="3">
        <f>IFERROR(VLOOKUP(F100,'Currency to EUR'!$A$2:$B$9,2,FALSE),NA())</f>
        <v/>
      </c>
      <c r="S100" s="9">
        <f>I100*R100</f>
        <v/>
      </c>
      <c r="T100" s="9">
        <f>J100*R100</f>
        <v/>
      </c>
      <c r="U100" s="9">
        <f>K100*R100</f>
        <v/>
      </c>
      <c r="V100" s="9">
        <f>L100*R100</f>
        <v/>
      </c>
      <c r="W100" s="9">
        <f>M100*R100</f>
        <v/>
      </c>
      <c r="X100" s="9">
        <f>N100*R100</f>
        <v/>
      </c>
      <c r="Y100" s="9">
        <f>O100*R100</f>
        <v/>
      </c>
      <c r="Z100" s="9">
        <f>P100*R100</f>
        <v/>
      </c>
      <c r="AA100" s="9">
        <f>Y100-Z100</f>
        <v/>
      </c>
      <c r="AB100" s="10">
        <f>IFERROR(S100/W100,0)</f>
        <v/>
      </c>
    </row>
    <row r="101">
      <c r="A101" s="2" t="n">
        <v>60046</v>
      </c>
      <c r="B101" s="2" t="inlineStr">
        <is>
          <t>ROY Amelie</t>
        </is>
      </c>
      <c r="C101" s="2" t="inlineStr">
        <is>
          <t>Experienced manager</t>
        </is>
      </c>
      <c r="D101" s="2" t="inlineStr">
        <is>
          <t>In</t>
        </is>
      </c>
      <c r="E101" s="2" t="inlineStr">
        <is>
          <t>Canada</t>
        </is>
      </c>
      <c r="F101" s="2" t="inlineStr">
        <is>
          <t>CAD</t>
        </is>
      </c>
      <c r="G101" s="8" t="n">
        <v>46023</v>
      </c>
      <c r="H101" s="8" t="n">
        <v>46387</v>
      </c>
      <c r="I101" s="9" t="n">
        <v>23688.77</v>
      </c>
      <c r="J101" s="9" t="n">
        <v>18297.79</v>
      </c>
      <c r="K101" s="9" t="n">
        <v>5390.98</v>
      </c>
      <c r="L101" s="9" t="n">
        <v>79799.89999999999</v>
      </c>
      <c r="M101" s="9" t="n">
        <v>26599.97</v>
      </c>
      <c r="N101" s="9" t="n">
        <v>150548.46</v>
      </c>
      <c r="O101" s="9" t="n">
        <v>24321.37</v>
      </c>
      <c r="P101" s="9" t="n">
        <v>239.81</v>
      </c>
      <c r="Q101" s="9">
        <f>O101-P101</f>
        <v/>
      </c>
      <c r="R101" s="3">
        <f>IFERROR(VLOOKUP(F101,'Currency to EUR'!$A$2:$B$9,2,FALSE),NA())</f>
        <v/>
      </c>
      <c r="S101" s="9">
        <f>I101*R101</f>
        <v/>
      </c>
      <c r="T101" s="9">
        <f>J101*R101</f>
        <v/>
      </c>
      <c r="U101" s="9">
        <f>K101*R101</f>
        <v/>
      </c>
      <c r="V101" s="9">
        <f>L101*R101</f>
        <v/>
      </c>
      <c r="W101" s="9">
        <f>M101*R101</f>
        <v/>
      </c>
      <c r="X101" s="9">
        <f>N101*R101</f>
        <v/>
      </c>
      <c r="Y101" s="9">
        <f>O101*R101</f>
        <v/>
      </c>
      <c r="Z101" s="9">
        <f>P101*R101</f>
        <v/>
      </c>
      <c r="AA101" s="9">
        <f>Y101-Z101</f>
        <v/>
      </c>
      <c r="AB101" s="10">
        <f>IFERROR(S101/W101,0)</f>
        <v/>
      </c>
    </row>
    <row r="102">
      <c r="A102" s="2" t="n">
        <v>60047</v>
      </c>
      <c r="B102" s="2" t="inlineStr">
        <is>
          <t>LEBLANC Marc</t>
        </is>
      </c>
      <c r="C102" s="2" t="inlineStr">
        <is>
          <t>Manager</t>
        </is>
      </c>
      <c r="D102" s="2" t="inlineStr">
        <is>
          <t>In</t>
        </is>
      </c>
      <c r="E102" s="2" t="inlineStr">
        <is>
          <t>Canada</t>
        </is>
      </c>
      <c r="F102" s="2" t="inlineStr">
        <is>
          <t>CAD</t>
        </is>
      </c>
      <c r="G102" s="8" t="n">
        <v>46023</v>
      </c>
      <c r="H102" s="8" t="n">
        <v>46387</v>
      </c>
      <c r="I102" s="9" t="n">
        <v>19261.45</v>
      </c>
      <c r="J102" s="9" t="n">
        <v>14629</v>
      </c>
      <c r="K102" s="9" t="n">
        <v>4632.45</v>
      </c>
      <c r="L102" s="9" t="n">
        <v>59512.06</v>
      </c>
      <c r="M102" s="9" t="n">
        <v>19837.35</v>
      </c>
      <c r="N102" s="9" t="n">
        <v>319490.83</v>
      </c>
      <c r="O102" s="9" t="n">
        <v>49256.51</v>
      </c>
      <c r="P102" s="9" t="n">
        <v>237.5</v>
      </c>
      <c r="Q102" s="9">
        <f>O102-P102</f>
        <v/>
      </c>
      <c r="R102" s="3">
        <f>IFERROR(VLOOKUP(F102,'Currency to EUR'!$A$2:$B$9,2,FALSE),NA())</f>
        <v/>
      </c>
      <c r="S102" s="9">
        <f>I102*R102</f>
        <v/>
      </c>
      <c r="T102" s="9">
        <f>J102*R102</f>
        <v/>
      </c>
      <c r="U102" s="9">
        <f>K102*R102</f>
        <v/>
      </c>
      <c r="V102" s="9">
        <f>L102*R102</f>
        <v/>
      </c>
      <c r="W102" s="9">
        <f>M102*R102</f>
        <v/>
      </c>
      <c r="X102" s="9">
        <f>N102*R102</f>
        <v/>
      </c>
      <c r="Y102" s="9">
        <f>O102*R102</f>
        <v/>
      </c>
      <c r="Z102" s="9">
        <f>P102*R102</f>
        <v/>
      </c>
      <c r="AA102" s="9">
        <f>Y102-Z102</f>
        <v/>
      </c>
      <c r="AB102" s="10">
        <f>IFERROR(S102/W102,0)</f>
        <v/>
      </c>
    </row>
    <row r="103">
      <c r="A103" s="2" t="n">
        <v>60048</v>
      </c>
      <c r="B103" s="2" t="inlineStr">
        <is>
          <t>FORTIN Sophie</t>
        </is>
      </c>
      <c r="C103" s="2" t="inlineStr">
        <is>
          <t>Senior manager</t>
        </is>
      </c>
      <c r="D103" s="2" t="inlineStr">
        <is>
          <t>In</t>
        </is>
      </c>
      <c r="E103" s="2" t="inlineStr">
        <is>
          <t>Canada</t>
        </is>
      </c>
      <c r="F103" s="2" t="inlineStr">
        <is>
          <t>CAD</t>
        </is>
      </c>
      <c r="G103" s="8" t="n">
        <v>46023</v>
      </c>
      <c r="H103" s="8" t="n">
        <v>46387</v>
      </c>
      <c r="I103" s="9" t="n">
        <v>32402.24</v>
      </c>
      <c r="J103" s="9" t="n">
        <v>27696.26</v>
      </c>
      <c r="K103" s="9" t="n">
        <v>4705.98</v>
      </c>
      <c r="L103" s="9" t="n">
        <v>109370.04</v>
      </c>
      <c r="M103" s="9" t="n">
        <v>36456.68</v>
      </c>
      <c r="N103" s="9" t="n">
        <v>21385.26</v>
      </c>
      <c r="O103" s="9" t="n">
        <v>3262.26</v>
      </c>
      <c r="P103" s="9" t="n">
        <v>1692.32</v>
      </c>
      <c r="Q103" s="9">
        <f>O103-P103</f>
        <v/>
      </c>
      <c r="R103" s="3">
        <f>IFERROR(VLOOKUP(F103,'Currency to EUR'!$A$2:$B$9,2,FALSE),NA())</f>
        <v/>
      </c>
      <c r="S103" s="9">
        <f>I103*R103</f>
        <v/>
      </c>
      <c r="T103" s="9">
        <f>J103*R103</f>
        <v/>
      </c>
      <c r="U103" s="9">
        <f>K103*R103</f>
        <v/>
      </c>
      <c r="V103" s="9">
        <f>L103*R103</f>
        <v/>
      </c>
      <c r="W103" s="9">
        <f>M103*R103</f>
        <v/>
      </c>
      <c r="X103" s="9">
        <f>N103*R103</f>
        <v/>
      </c>
      <c r="Y103" s="9">
        <f>O103*R103</f>
        <v/>
      </c>
      <c r="Z103" s="9">
        <f>P103*R103</f>
        <v/>
      </c>
      <c r="AA103" s="9">
        <f>Y103-Z103</f>
        <v/>
      </c>
      <c r="AB103" s="10">
        <f>IFERROR(S103/W103,0)</f>
        <v/>
      </c>
    </row>
    <row r="104">
      <c r="A104" s="2" t="n">
        <v>60049</v>
      </c>
      <c r="B104" s="2" t="inlineStr">
        <is>
          <t>BERGERON Nicolas</t>
        </is>
      </c>
      <c r="C104" s="2" t="inlineStr">
        <is>
          <t>Experienced manager</t>
        </is>
      </c>
      <c r="D104" s="2" t="inlineStr">
        <is>
          <t>In</t>
        </is>
      </c>
      <c r="E104" s="2" t="inlineStr">
        <is>
          <t>Canada</t>
        </is>
      </c>
      <c r="F104" s="2" t="inlineStr">
        <is>
          <t>CAD</t>
        </is>
      </c>
      <c r="G104" s="8" t="n">
        <v>46023</v>
      </c>
      <c r="H104" s="8" t="n">
        <v>46387</v>
      </c>
      <c r="I104" s="9" t="n">
        <v>21752.21</v>
      </c>
      <c r="J104" s="9" t="n">
        <v>17251.5</v>
      </c>
      <c r="K104" s="9" t="n">
        <v>4500.71</v>
      </c>
      <c r="L104" s="9" t="n">
        <v>81846.60000000001</v>
      </c>
      <c r="M104" s="9" t="n">
        <v>27282.2</v>
      </c>
      <c r="N104" s="9" t="n">
        <v>68495.03999999999</v>
      </c>
      <c r="O104" s="9" t="n">
        <v>11077.85</v>
      </c>
      <c r="P104" s="9" t="n">
        <v>148.58</v>
      </c>
      <c r="Q104" s="9">
        <f>O104-P104</f>
        <v/>
      </c>
      <c r="R104" s="3">
        <f>IFERROR(VLOOKUP(F104,'Currency to EUR'!$A$2:$B$9,2,FALSE),NA())</f>
        <v/>
      </c>
      <c r="S104" s="9">
        <f>I104*R104</f>
        <v/>
      </c>
      <c r="T104" s="9">
        <f>J104*R104</f>
        <v/>
      </c>
      <c r="U104" s="9">
        <f>K104*R104</f>
        <v/>
      </c>
      <c r="V104" s="9">
        <f>L104*R104</f>
        <v/>
      </c>
      <c r="W104" s="9">
        <f>M104*R104</f>
        <v/>
      </c>
      <c r="X104" s="9">
        <f>N104*R104</f>
        <v/>
      </c>
      <c r="Y104" s="9">
        <f>O104*R104</f>
        <v/>
      </c>
      <c r="Z104" s="9">
        <f>P104*R104</f>
        <v/>
      </c>
      <c r="AA104" s="9">
        <f>Y104-Z104</f>
        <v/>
      </c>
      <c r="AB104" s="10">
        <f>IFERROR(S104/W104,0)</f>
        <v/>
      </c>
    </row>
    <row r="105">
      <c r="A105" s="2" t="n">
        <v>60050</v>
      </c>
      <c r="B105" s="2" t="inlineStr">
        <is>
          <t>CLOUTIER Emma</t>
        </is>
      </c>
      <c r="C105" s="2" t="inlineStr">
        <is>
          <t>Experienced manager</t>
        </is>
      </c>
      <c r="D105" s="2" t="inlineStr">
        <is>
          <t>In</t>
        </is>
      </c>
      <c r="E105" s="2" t="inlineStr">
        <is>
          <t>Canada</t>
        </is>
      </c>
      <c r="F105" s="2" t="inlineStr">
        <is>
          <t>CAD</t>
        </is>
      </c>
      <c r="G105" s="8" t="n">
        <v>46023</v>
      </c>
      <c r="H105" s="8" t="n">
        <v>46387</v>
      </c>
      <c r="I105" s="9" t="n">
        <v>23037.53</v>
      </c>
      <c r="J105" s="9" t="n">
        <v>16173.94</v>
      </c>
      <c r="K105" s="9" t="n">
        <v>6863.59</v>
      </c>
      <c r="L105" s="9" t="n">
        <v>79163.25</v>
      </c>
      <c r="M105" s="9" t="n">
        <v>26387.75</v>
      </c>
      <c r="N105" s="9" t="n">
        <v>191052.21</v>
      </c>
      <c r="O105" s="9" t="n">
        <v>30187.29</v>
      </c>
      <c r="P105" s="9" t="n">
        <v>3214.09</v>
      </c>
      <c r="Q105" s="9">
        <f>O105-P105</f>
        <v/>
      </c>
      <c r="R105" s="3">
        <f>IFERROR(VLOOKUP(F105,'Currency to EUR'!$A$2:$B$9,2,FALSE),NA())</f>
        <v/>
      </c>
      <c r="S105" s="9">
        <f>I105*R105</f>
        <v/>
      </c>
      <c r="T105" s="9">
        <f>J105*R105</f>
        <v/>
      </c>
      <c r="U105" s="9">
        <f>K105*R105</f>
        <v/>
      </c>
      <c r="V105" s="9">
        <f>L105*R105</f>
        <v/>
      </c>
      <c r="W105" s="9">
        <f>M105*R105</f>
        <v/>
      </c>
      <c r="X105" s="9">
        <f>N105*R105</f>
        <v/>
      </c>
      <c r="Y105" s="9">
        <f>O105*R105</f>
        <v/>
      </c>
      <c r="Z105" s="9">
        <f>P105*R105</f>
        <v/>
      </c>
      <c r="AA105" s="9">
        <f>Y105-Z105</f>
        <v/>
      </c>
      <c r="AB105" s="10">
        <f>IFERROR(S105/W105,0)</f>
        <v/>
      </c>
    </row>
    <row r="106">
      <c r="A106" s="2" t="n">
        <v>60051</v>
      </c>
      <c r="B106" s="2" t="inlineStr">
        <is>
          <t>DUBE Alexandre</t>
        </is>
      </c>
      <c r="C106" s="2" t="inlineStr">
        <is>
          <t>Manager</t>
        </is>
      </c>
      <c r="D106" s="2" t="inlineStr">
        <is>
          <t>In</t>
        </is>
      </c>
      <c r="E106" s="2" t="inlineStr">
        <is>
          <t>Canada</t>
        </is>
      </c>
      <c r="F106" s="2" t="inlineStr">
        <is>
          <t>CAD</t>
        </is>
      </c>
      <c r="G106" s="8" t="n">
        <v>46023</v>
      </c>
      <c r="H106" s="8" t="n">
        <v>46387</v>
      </c>
      <c r="I106" s="9" t="n">
        <v>16390</v>
      </c>
      <c r="J106" s="9" t="n">
        <v>11517.02</v>
      </c>
      <c r="K106" s="9" t="n">
        <v>4872.98</v>
      </c>
      <c r="L106" s="9" t="n">
        <v>61177.42</v>
      </c>
      <c r="M106" s="9" t="n">
        <v>20392.47</v>
      </c>
      <c r="N106" s="9" t="n">
        <v>268890.65</v>
      </c>
      <c r="O106" s="9" t="n">
        <v>43049.27</v>
      </c>
      <c r="P106" s="9" t="n">
        <v>4431.7</v>
      </c>
      <c r="Q106" s="9">
        <f>O106-P106</f>
        <v/>
      </c>
      <c r="R106" s="3">
        <f>IFERROR(VLOOKUP(F106,'Currency to EUR'!$A$2:$B$9,2,FALSE),NA())</f>
        <v/>
      </c>
      <c r="S106" s="9">
        <f>I106*R106</f>
        <v/>
      </c>
      <c r="T106" s="9">
        <f>J106*R106</f>
        <v/>
      </c>
      <c r="U106" s="9">
        <f>K106*R106</f>
        <v/>
      </c>
      <c r="V106" s="9">
        <f>L106*R106</f>
        <v/>
      </c>
      <c r="W106" s="9">
        <f>M106*R106</f>
        <v/>
      </c>
      <c r="X106" s="9">
        <f>N106*R106</f>
        <v/>
      </c>
      <c r="Y106" s="9">
        <f>O106*R106</f>
        <v/>
      </c>
      <c r="Z106" s="9">
        <f>P106*R106</f>
        <v/>
      </c>
      <c r="AA106" s="9">
        <f>Y106-Z106</f>
        <v/>
      </c>
      <c r="AB106" s="10">
        <f>IFERROR(S106/W106,0)</f>
        <v/>
      </c>
    </row>
    <row r="107">
      <c r="A107" s="2" t="n">
        <v>60052</v>
      </c>
      <c r="B107" s="2" t="inlineStr">
        <is>
          <t>PELLETIER Chloe</t>
        </is>
      </c>
      <c r="C107" s="2" t="inlineStr">
        <is>
          <t>Manager</t>
        </is>
      </c>
      <c r="D107" s="2" t="inlineStr">
        <is>
          <t>In</t>
        </is>
      </c>
      <c r="E107" s="2" t="inlineStr">
        <is>
          <t>Canada</t>
        </is>
      </c>
      <c r="F107" s="2" t="inlineStr">
        <is>
          <t>CAD</t>
        </is>
      </c>
      <c r="G107" s="8" t="n">
        <v>46023</v>
      </c>
      <c r="H107" s="8" t="n">
        <v>46387</v>
      </c>
      <c r="I107" s="9" t="n">
        <v>18494.06</v>
      </c>
      <c r="J107" s="9" t="n">
        <v>13591.29</v>
      </c>
      <c r="K107" s="9" t="n">
        <v>4902.77</v>
      </c>
      <c r="L107" s="9" t="n">
        <v>58092.22</v>
      </c>
      <c r="M107" s="9" t="n">
        <v>19364.07</v>
      </c>
      <c r="N107" s="9" t="n">
        <v>229621.81</v>
      </c>
      <c r="O107" s="9" t="n">
        <v>35673.31</v>
      </c>
      <c r="P107" s="9" t="n">
        <v>273.05</v>
      </c>
      <c r="Q107" s="9">
        <f>O107-P107</f>
        <v/>
      </c>
      <c r="R107" s="3">
        <f>IFERROR(VLOOKUP(F107,'Currency to EUR'!$A$2:$B$9,2,FALSE),NA())</f>
        <v/>
      </c>
      <c r="S107" s="9">
        <f>I107*R107</f>
        <v/>
      </c>
      <c r="T107" s="9">
        <f>J107*R107</f>
        <v/>
      </c>
      <c r="U107" s="9">
        <f>K107*R107</f>
        <v/>
      </c>
      <c r="V107" s="9">
        <f>L107*R107</f>
        <v/>
      </c>
      <c r="W107" s="9">
        <f>M107*R107</f>
        <v/>
      </c>
      <c r="X107" s="9">
        <f>N107*R107</f>
        <v/>
      </c>
      <c r="Y107" s="9">
        <f>O107*R107</f>
        <v/>
      </c>
      <c r="Z107" s="9">
        <f>P107*R107</f>
        <v/>
      </c>
      <c r="AA107" s="9">
        <f>Y107-Z107</f>
        <v/>
      </c>
      <c r="AB107" s="10">
        <f>IFERROR(S107/W107,0)</f>
        <v/>
      </c>
    </row>
    <row r="108">
      <c r="A108" s="2" t="n">
        <v>60053</v>
      </c>
      <c r="B108" s="2" t="inlineStr">
        <is>
          <t>MORIN Gabriel</t>
        </is>
      </c>
      <c r="C108" s="2" t="inlineStr">
        <is>
          <t>Manager</t>
        </is>
      </c>
      <c r="D108" s="2" t="inlineStr">
        <is>
          <t>In</t>
        </is>
      </c>
      <c r="E108" s="2" t="inlineStr">
        <is>
          <t>Canada</t>
        </is>
      </c>
      <c r="F108" s="2" t="inlineStr">
        <is>
          <t>CAD</t>
        </is>
      </c>
      <c r="G108" s="8" t="n">
        <v>46023</v>
      </c>
      <c r="H108" s="8" t="n">
        <v>46387</v>
      </c>
      <c r="I108" s="9" t="n">
        <v>15760.29</v>
      </c>
      <c r="J108" s="9" t="n">
        <v>11387.55</v>
      </c>
      <c r="K108" s="9" t="n">
        <v>4372.74</v>
      </c>
      <c r="L108" s="9" t="n">
        <v>59205.32</v>
      </c>
      <c r="M108" s="9" t="n">
        <v>19735.11</v>
      </c>
      <c r="N108" s="9" t="n">
        <v>43072.66</v>
      </c>
      <c r="O108" s="9" t="n">
        <v>7169.06</v>
      </c>
      <c r="P108" s="9" t="n">
        <v>31.36</v>
      </c>
      <c r="Q108" s="9">
        <f>O108-P108</f>
        <v/>
      </c>
      <c r="R108" s="3">
        <f>IFERROR(VLOOKUP(F108,'Currency to EUR'!$A$2:$B$9,2,FALSE),NA())</f>
        <v/>
      </c>
      <c r="S108" s="9">
        <f>I108*R108</f>
        <v/>
      </c>
      <c r="T108" s="9">
        <f>J108*R108</f>
        <v/>
      </c>
      <c r="U108" s="9">
        <f>K108*R108</f>
        <v/>
      </c>
      <c r="V108" s="9">
        <f>L108*R108</f>
        <v/>
      </c>
      <c r="W108" s="9">
        <f>M108*R108</f>
        <v/>
      </c>
      <c r="X108" s="9">
        <f>N108*R108</f>
        <v/>
      </c>
      <c r="Y108" s="9">
        <f>O108*R108</f>
        <v/>
      </c>
      <c r="Z108" s="9">
        <f>P108*R108</f>
        <v/>
      </c>
      <c r="AA108" s="9">
        <f>Y108-Z108</f>
        <v/>
      </c>
      <c r="AB108" s="10">
        <f>IFERROR(S108/W108,0)</f>
        <v/>
      </c>
    </row>
    <row r="109">
      <c r="A109" s="2" t="n">
        <v>60054</v>
      </c>
      <c r="B109" s="2" t="inlineStr">
        <is>
          <t>LAVOIE Juliette</t>
        </is>
      </c>
      <c r="C109" s="2" t="inlineStr">
        <is>
          <t>Manager</t>
        </is>
      </c>
      <c r="D109" s="2" t="inlineStr">
        <is>
          <t>In</t>
        </is>
      </c>
      <c r="E109" s="2" t="inlineStr">
        <is>
          <t>Canada</t>
        </is>
      </c>
      <c r="F109" s="2" t="inlineStr">
        <is>
          <t>CAD</t>
        </is>
      </c>
      <c r="G109" s="8" t="n">
        <v>46023</v>
      </c>
      <c r="H109" s="8" t="n">
        <v>46387</v>
      </c>
      <c r="I109" s="9" t="n">
        <v>15974.76</v>
      </c>
      <c r="J109" s="9" t="n">
        <v>10900.09</v>
      </c>
      <c r="K109" s="9" t="n">
        <v>5074.67</v>
      </c>
      <c r="L109" s="9" t="n">
        <v>60882.39</v>
      </c>
      <c r="M109" s="9" t="n">
        <v>20294.13</v>
      </c>
      <c r="N109" s="9" t="n">
        <v>52683.81</v>
      </c>
      <c r="O109" s="9" t="n">
        <v>8105.27</v>
      </c>
      <c r="P109" s="9" t="n">
        <v>65.19</v>
      </c>
      <c r="Q109" s="9">
        <f>O109-P109</f>
        <v/>
      </c>
      <c r="R109" s="3">
        <f>IFERROR(VLOOKUP(F109,'Currency to EUR'!$A$2:$B$9,2,FALSE),NA())</f>
        <v/>
      </c>
      <c r="S109" s="9">
        <f>I109*R109</f>
        <v/>
      </c>
      <c r="T109" s="9">
        <f>J109*R109</f>
        <v/>
      </c>
      <c r="U109" s="9">
        <f>K109*R109</f>
        <v/>
      </c>
      <c r="V109" s="9">
        <f>L109*R109</f>
        <v/>
      </c>
      <c r="W109" s="9">
        <f>M109*R109</f>
        <v/>
      </c>
      <c r="X109" s="9">
        <f>N109*R109</f>
        <v/>
      </c>
      <c r="Y109" s="9">
        <f>O109*R109</f>
        <v/>
      </c>
      <c r="Z109" s="9">
        <f>P109*R109</f>
        <v/>
      </c>
      <c r="AA109" s="9">
        <f>Y109-Z109</f>
        <v/>
      </c>
      <c r="AB109" s="10">
        <f>IFERROR(S109/W109,0)</f>
        <v/>
      </c>
    </row>
    <row r="110">
      <c r="A110" s="2" t="n">
        <v>60055</v>
      </c>
      <c r="B110" s="2" t="inlineStr">
        <is>
          <t>SIMARD Philippe</t>
        </is>
      </c>
      <c r="C110" s="2" t="inlineStr">
        <is>
          <t>Manager</t>
        </is>
      </c>
      <c r="D110" s="2" t="inlineStr">
        <is>
          <t>In</t>
        </is>
      </c>
      <c r="E110" s="2" t="inlineStr">
        <is>
          <t>Canada</t>
        </is>
      </c>
      <c r="F110" s="2" t="inlineStr">
        <is>
          <t>CAD</t>
        </is>
      </c>
      <c r="G110" s="8" t="n">
        <v>46023</v>
      </c>
      <c r="H110" s="8" t="n">
        <v>46387</v>
      </c>
      <c r="I110" s="9" t="n">
        <v>15789.45</v>
      </c>
      <c r="J110" s="9" t="n">
        <v>11929.05</v>
      </c>
      <c r="K110" s="9" t="n">
        <v>3860.4</v>
      </c>
      <c r="L110" s="9" t="n">
        <v>57525.5</v>
      </c>
      <c r="M110" s="9" t="n">
        <v>19175.17</v>
      </c>
      <c r="N110" s="9" t="n">
        <v>116261.33</v>
      </c>
      <c r="O110" s="9" t="n">
        <v>18116.34</v>
      </c>
      <c r="P110" s="9" t="n">
        <v>136.94</v>
      </c>
      <c r="Q110" s="9">
        <f>O110-P110</f>
        <v/>
      </c>
      <c r="R110" s="3">
        <f>IFERROR(VLOOKUP(F110,'Currency to EUR'!$A$2:$B$9,2,FALSE),NA())</f>
        <v/>
      </c>
      <c r="S110" s="9">
        <f>I110*R110</f>
        <v/>
      </c>
      <c r="T110" s="9">
        <f>J110*R110</f>
        <v/>
      </c>
      <c r="U110" s="9">
        <f>K110*R110</f>
        <v/>
      </c>
      <c r="V110" s="9">
        <f>L110*R110</f>
        <v/>
      </c>
      <c r="W110" s="9">
        <f>M110*R110</f>
        <v/>
      </c>
      <c r="X110" s="9">
        <f>N110*R110</f>
        <v/>
      </c>
      <c r="Y110" s="9">
        <f>O110*R110</f>
        <v/>
      </c>
      <c r="Z110" s="9">
        <f>P110*R110</f>
        <v/>
      </c>
      <c r="AA110" s="9">
        <f>Y110-Z110</f>
        <v/>
      </c>
      <c r="AB110" s="10">
        <f>IFERROR(S110/W110,0)</f>
        <v/>
      </c>
    </row>
    <row r="111">
      <c r="A111" s="2" t="n">
        <v>60056</v>
      </c>
      <c r="B111" s="2" t="inlineStr">
        <is>
          <t>POULIN Audrey</t>
        </is>
      </c>
      <c r="C111" s="2" t="inlineStr">
        <is>
          <t>Experienced manager</t>
        </is>
      </c>
      <c r="D111" s="2" t="inlineStr">
        <is>
          <t>In</t>
        </is>
      </c>
      <c r="E111" s="2" t="inlineStr">
        <is>
          <t>Canada</t>
        </is>
      </c>
      <c r="F111" s="2" t="inlineStr">
        <is>
          <t>CAD</t>
        </is>
      </c>
      <c r="G111" s="8" t="n">
        <v>46023</v>
      </c>
      <c r="H111" s="8" t="n">
        <v>46387</v>
      </c>
      <c r="I111" s="9" t="n">
        <v>21514.56</v>
      </c>
      <c r="J111" s="9" t="n">
        <v>15281.58</v>
      </c>
      <c r="K111" s="9" t="n">
        <v>6232.98</v>
      </c>
      <c r="L111" s="9" t="n">
        <v>79767.89</v>
      </c>
      <c r="M111" s="9" t="n">
        <v>26589.3</v>
      </c>
      <c r="N111" s="9" t="n">
        <v>48488.39</v>
      </c>
      <c r="O111" s="9" t="n">
        <v>7303.08</v>
      </c>
      <c r="P111" s="9" t="n">
        <v>56.76</v>
      </c>
      <c r="Q111" s="9">
        <f>O111-P111</f>
        <v/>
      </c>
      <c r="R111" s="3">
        <f>IFERROR(VLOOKUP(F111,'Currency to EUR'!$A$2:$B$9,2,FALSE),NA())</f>
        <v/>
      </c>
      <c r="S111" s="9">
        <f>I111*R111</f>
        <v/>
      </c>
      <c r="T111" s="9">
        <f>J111*R111</f>
        <v/>
      </c>
      <c r="U111" s="9">
        <f>K111*R111</f>
        <v/>
      </c>
      <c r="V111" s="9">
        <f>L111*R111</f>
        <v/>
      </c>
      <c r="W111" s="9">
        <f>M111*R111</f>
        <v/>
      </c>
      <c r="X111" s="9">
        <f>N111*R111</f>
        <v/>
      </c>
      <c r="Y111" s="9">
        <f>O111*R111</f>
        <v/>
      </c>
      <c r="Z111" s="9">
        <f>P111*R111</f>
        <v/>
      </c>
      <c r="AA111" s="9">
        <f>Y111-Z111</f>
        <v/>
      </c>
      <c r="AB111" s="10">
        <f>IFERROR(S111/W111,0)</f>
        <v/>
      </c>
    </row>
    <row r="112">
      <c r="A112" s="2" t="n">
        <v>60057</v>
      </c>
      <c r="B112" s="2" t="inlineStr">
        <is>
          <t>BEAULIEU Thomas</t>
        </is>
      </c>
      <c r="C112" s="2" t="inlineStr">
        <is>
          <t>Experienced manager</t>
        </is>
      </c>
      <c r="D112" s="2" t="inlineStr">
        <is>
          <t>In</t>
        </is>
      </c>
      <c r="E112" s="2" t="inlineStr">
        <is>
          <t>Canada</t>
        </is>
      </c>
      <c r="F112" s="2" t="inlineStr">
        <is>
          <t>CAD</t>
        </is>
      </c>
      <c r="G112" s="8" t="n">
        <v>46023</v>
      </c>
      <c r="H112" s="8" t="n">
        <v>46387</v>
      </c>
      <c r="I112" s="9" t="n">
        <v>23917.21</v>
      </c>
      <c r="J112" s="9" t="n">
        <v>17104.86</v>
      </c>
      <c r="K112" s="9" t="n">
        <v>6812.35</v>
      </c>
      <c r="L112" s="9" t="n">
        <v>76453.39999999999</v>
      </c>
      <c r="M112" s="9" t="n">
        <v>25484.47</v>
      </c>
      <c r="N112" s="9" t="n">
        <v>148503.56</v>
      </c>
      <c r="O112" s="9" t="n">
        <v>22428.59</v>
      </c>
      <c r="P112" s="9" t="n">
        <v>157.65</v>
      </c>
      <c r="Q112" s="9">
        <f>O112-P112</f>
        <v/>
      </c>
      <c r="R112" s="3">
        <f>IFERROR(VLOOKUP(F112,'Currency to EUR'!$A$2:$B$9,2,FALSE),NA())</f>
        <v/>
      </c>
      <c r="S112" s="9">
        <f>I112*R112</f>
        <v/>
      </c>
      <c r="T112" s="9">
        <f>J112*R112</f>
        <v/>
      </c>
      <c r="U112" s="9">
        <f>K112*R112</f>
        <v/>
      </c>
      <c r="V112" s="9">
        <f>L112*R112</f>
        <v/>
      </c>
      <c r="W112" s="9">
        <f>M112*R112</f>
        <v/>
      </c>
      <c r="X112" s="9">
        <f>N112*R112</f>
        <v/>
      </c>
      <c r="Y112" s="9">
        <f>O112*R112</f>
        <v/>
      </c>
      <c r="Z112" s="9">
        <f>P112*R112</f>
        <v/>
      </c>
      <c r="AA112" s="9">
        <f>Y112-Z112</f>
        <v/>
      </c>
      <c r="AB112" s="10">
        <f>IFERROR(S112/W112,0)</f>
        <v/>
      </c>
    </row>
    <row r="113">
      <c r="A113" s="2" t="n">
        <v>60058</v>
      </c>
      <c r="B113" s="2" t="inlineStr">
        <is>
          <t>OUELLETTE Emilie</t>
        </is>
      </c>
      <c r="C113" s="2" t="inlineStr">
        <is>
          <t>Manager</t>
        </is>
      </c>
      <c r="D113" s="2" t="inlineStr">
        <is>
          <t>In</t>
        </is>
      </c>
      <c r="E113" s="2" t="inlineStr">
        <is>
          <t>Canada</t>
        </is>
      </c>
      <c r="F113" s="2" t="inlineStr">
        <is>
          <t>CAD</t>
        </is>
      </c>
      <c r="G113" s="8" t="n">
        <v>46023</v>
      </c>
      <c r="H113" s="8" t="n">
        <v>46387</v>
      </c>
      <c r="I113" s="9" t="n">
        <v>18367.38</v>
      </c>
      <c r="J113" s="9" t="n">
        <v>13140.04</v>
      </c>
      <c r="K113" s="9" t="n">
        <v>5227.34</v>
      </c>
      <c r="L113" s="9" t="n">
        <v>57484.88</v>
      </c>
      <c r="M113" s="9" t="n">
        <v>19161.63</v>
      </c>
      <c r="N113" s="9" t="n">
        <v>124285.16</v>
      </c>
      <c r="O113" s="9" t="n">
        <v>19036.99</v>
      </c>
      <c r="P113" s="9" t="n">
        <v>1807.3</v>
      </c>
      <c r="Q113" s="9">
        <f>O113-P113</f>
        <v/>
      </c>
      <c r="R113" s="3">
        <f>IFERROR(VLOOKUP(F113,'Currency to EUR'!$A$2:$B$9,2,FALSE),NA())</f>
        <v/>
      </c>
      <c r="S113" s="9">
        <f>I113*R113</f>
        <v/>
      </c>
      <c r="T113" s="9">
        <f>J113*R113</f>
        <v/>
      </c>
      <c r="U113" s="9">
        <f>K113*R113</f>
        <v/>
      </c>
      <c r="V113" s="9">
        <f>L113*R113</f>
        <v/>
      </c>
      <c r="W113" s="9">
        <f>M113*R113</f>
        <v/>
      </c>
      <c r="X113" s="9">
        <f>N113*R113</f>
        <v/>
      </c>
      <c r="Y113" s="9">
        <f>O113*R113</f>
        <v/>
      </c>
      <c r="Z113" s="9">
        <f>P113*R113</f>
        <v/>
      </c>
      <c r="AA113" s="9">
        <f>Y113-Z113</f>
        <v/>
      </c>
      <c r="AB113" s="10">
        <f>IFERROR(S113/W113,0)</f>
        <v/>
      </c>
    </row>
    <row r="114">
      <c r="A114" s="2" t="n">
        <v>60059</v>
      </c>
      <c r="B114" s="2" t="inlineStr">
        <is>
          <t>GIROUX Vincent</t>
        </is>
      </c>
      <c r="C114" s="2" t="inlineStr">
        <is>
          <t>Manager</t>
        </is>
      </c>
      <c r="D114" s="2" t="inlineStr">
        <is>
          <t>In</t>
        </is>
      </c>
      <c r="E114" s="2" t="inlineStr">
        <is>
          <t>Canada</t>
        </is>
      </c>
      <c r="F114" s="2" t="inlineStr">
        <is>
          <t>CAD</t>
        </is>
      </c>
      <c r="G114" s="8" t="n">
        <v>46023</v>
      </c>
      <c r="H114" s="8" t="n">
        <v>46387</v>
      </c>
      <c r="I114" s="9" t="n">
        <v>17448.7</v>
      </c>
      <c r="J114" s="9" t="n">
        <v>15564.95</v>
      </c>
      <c r="K114" s="9" t="n">
        <v>1883.75</v>
      </c>
      <c r="L114" s="9" t="n">
        <v>61231.53</v>
      </c>
      <c r="M114" s="9" t="n">
        <v>20410.51</v>
      </c>
      <c r="N114" s="9" t="n">
        <v>190645.55</v>
      </c>
      <c r="O114" s="9" t="n">
        <v>28907.12</v>
      </c>
      <c r="P114" s="9" t="n">
        <v>2748.54</v>
      </c>
      <c r="Q114" s="9">
        <f>O114-P114</f>
        <v/>
      </c>
      <c r="R114" s="3">
        <f>IFERROR(VLOOKUP(F114,'Currency to EUR'!$A$2:$B$9,2,FALSE),NA())</f>
        <v/>
      </c>
      <c r="S114" s="9">
        <f>I114*R114</f>
        <v/>
      </c>
      <c r="T114" s="9">
        <f>J114*R114</f>
        <v/>
      </c>
      <c r="U114" s="9">
        <f>K114*R114</f>
        <v/>
      </c>
      <c r="V114" s="9">
        <f>L114*R114</f>
        <v/>
      </c>
      <c r="W114" s="9">
        <f>M114*R114</f>
        <v/>
      </c>
      <c r="X114" s="9">
        <f>N114*R114</f>
        <v/>
      </c>
      <c r="Y114" s="9">
        <f>O114*R114</f>
        <v/>
      </c>
      <c r="Z114" s="9">
        <f>P114*R114</f>
        <v/>
      </c>
      <c r="AA114" s="9">
        <f>Y114-Z114</f>
        <v/>
      </c>
      <c r="AB114" s="10">
        <f>IFERROR(S114/W114,0)</f>
        <v/>
      </c>
    </row>
    <row r="115">
      <c r="A115" s="2" t="n">
        <v>60060</v>
      </c>
      <c r="B115" s="2" t="inlineStr">
        <is>
          <t>CARON Florence</t>
        </is>
      </c>
      <c r="C115" s="2" t="inlineStr">
        <is>
          <t>Experienced manager</t>
        </is>
      </c>
      <c r="D115" s="2" t="inlineStr">
        <is>
          <t>In</t>
        </is>
      </c>
      <c r="E115" s="2" t="inlineStr">
        <is>
          <t>Canada</t>
        </is>
      </c>
      <c r="F115" s="2" t="inlineStr">
        <is>
          <t>CAD</t>
        </is>
      </c>
      <c r="G115" s="8" t="n">
        <v>46023</v>
      </c>
      <c r="H115" s="8" t="n">
        <v>46387</v>
      </c>
      <c r="I115" s="9" t="n">
        <v>26506.28</v>
      </c>
      <c r="J115" s="9" t="n">
        <v>20876.9</v>
      </c>
      <c r="K115" s="9" t="n">
        <v>5629.38</v>
      </c>
      <c r="L115" s="9" t="n">
        <v>76991.28999999999</v>
      </c>
      <c r="M115" s="9" t="n">
        <v>25663.76</v>
      </c>
      <c r="N115" s="9" t="n">
        <v>99281.39</v>
      </c>
      <c r="O115" s="9" t="n">
        <v>16040.59</v>
      </c>
      <c r="P115" s="9" t="n">
        <v>1701.33</v>
      </c>
      <c r="Q115" s="9">
        <f>O115-P115</f>
        <v/>
      </c>
      <c r="R115" s="3">
        <f>IFERROR(VLOOKUP(F115,'Currency to EUR'!$A$2:$B$9,2,FALSE),NA())</f>
        <v/>
      </c>
      <c r="S115" s="9">
        <f>I115*R115</f>
        <v/>
      </c>
      <c r="T115" s="9">
        <f>J115*R115</f>
        <v/>
      </c>
      <c r="U115" s="9">
        <f>K115*R115</f>
        <v/>
      </c>
      <c r="V115" s="9">
        <f>L115*R115</f>
        <v/>
      </c>
      <c r="W115" s="9">
        <f>M115*R115</f>
        <v/>
      </c>
      <c r="X115" s="9">
        <f>N115*R115</f>
        <v/>
      </c>
      <c r="Y115" s="9">
        <f>O115*R115</f>
        <v/>
      </c>
      <c r="Z115" s="9">
        <f>P115*R115</f>
        <v/>
      </c>
      <c r="AA115" s="9">
        <f>Y115-Z115</f>
        <v/>
      </c>
      <c r="AB115" s="10">
        <f>IFERROR(S115/W115,0)</f>
        <v/>
      </c>
    </row>
    <row r="116">
      <c r="A116" s="2" t="n">
        <v>60061</v>
      </c>
      <c r="B116" s="2" t="inlineStr">
        <is>
          <t>MERCIER Antoine</t>
        </is>
      </c>
      <c r="C116" s="2" t="inlineStr">
        <is>
          <t>Senior manager</t>
        </is>
      </c>
      <c r="D116" s="2" t="inlineStr">
        <is>
          <t>In</t>
        </is>
      </c>
      <c r="E116" s="2" t="inlineStr">
        <is>
          <t>Canada</t>
        </is>
      </c>
      <c r="F116" s="2" t="inlineStr">
        <is>
          <t>CAD</t>
        </is>
      </c>
      <c r="G116" s="8" t="n">
        <v>46023</v>
      </c>
      <c r="H116" s="8" t="n">
        <v>46387</v>
      </c>
      <c r="I116" s="9" t="n">
        <v>27600.47</v>
      </c>
      <c r="J116" s="9" t="n">
        <v>24089.87</v>
      </c>
      <c r="K116" s="9" t="n">
        <v>3510.6</v>
      </c>
      <c r="L116" s="9" t="n">
        <v>110010.76</v>
      </c>
      <c r="M116" s="9" t="n">
        <v>36670.25</v>
      </c>
      <c r="N116" s="9" t="n">
        <v>116092.7</v>
      </c>
      <c r="O116" s="9" t="n">
        <v>18390.71</v>
      </c>
      <c r="P116" s="9" t="n">
        <v>1755.65</v>
      </c>
      <c r="Q116" s="9">
        <f>O116-P116</f>
        <v/>
      </c>
      <c r="R116" s="3">
        <f>IFERROR(VLOOKUP(F116,'Currency to EUR'!$A$2:$B$9,2,FALSE),NA())</f>
        <v/>
      </c>
      <c r="S116" s="9">
        <f>I116*R116</f>
        <v/>
      </c>
      <c r="T116" s="9">
        <f>J116*R116</f>
        <v/>
      </c>
      <c r="U116" s="9">
        <f>K116*R116</f>
        <v/>
      </c>
      <c r="V116" s="9">
        <f>L116*R116</f>
        <v/>
      </c>
      <c r="W116" s="9">
        <f>M116*R116</f>
        <v/>
      </c>
      <c r="X116" s="9">
        <f>N116*R116</f>
        <v/>
      </c>
      <c r="Y116" s="9">
        <f>O116*R116</f>
        <v/>
      </c>
      <c r="Z116" s="9">
        <f>P116*R116</f>
        <v/>
      </c>
      <c r="AA116" s="9">
        <f>Y116-Z116</f>
        <v/>
      </c>
      <c r="AB116" s="10">
        <f>IFERROR(S116/W116,0)</f>
        <v/>
      </c>
    </row>
    <row r="117">
      <c r="A117" s="2" t="n">
        <v>60071</v>
      </c>
      <c r="B117" s="2" t="inlineStr">
        <is>
          <t>SATO Haruto</t>
        </is>
      </c>
      <c r="C117" s="2" t="inlineStr">
        <is>
          <t>Manager</t>
        </is>
      </c>
      <c r="D117" s="2" t="inlineStr">
        <is>
          <t>In</t>
        </is>
      </c>
      <c r="E117" s="2" t="inlineStr">
        <is>
          <t>Japan</t>
        </is>
      </c>
      <c r="F117" s="2" t="inlineStr">
        <is>
          <t>JPY</t>
        </is>
      </c>
      <c r="G117" s="8" t="n">
        <v>46023</v>
      </c>
      <c r="H117" s="8" t="n">
        <v>46387</v>
      </c>
      <c r="I117" s="9" t="n">
        <v>755393.63</v>
      </c>
      <c r="J117" s="9" t="n">
        <v>778055.4399999999</v>
      </c>
      <c r="K117" s="9" t="n">
        <v>-22661.81</v>
      </c>
      <c r="L117" s="9" t="n">
        <v>2196081.9</v>
      </c>
      <c r="M117" s="9" t="n">
        <v>732027.3</v>
      </c>
      <c r="N117" s="9" t="n">
        <v>34287141.69</v>
      </c>
      <c r="O117" s="9" t="n">
        <v>5967880.7</v>
      </c>
      <c r="P117" s="9" t="n">
        <v>2819151.54</v>
      </c>
      <c r="Q117" s="9">
        <f>O117-P117</f>
        <v/>
      </c>
      <c r="R117" s="3">
        <f>IFERROR(VLOOKUP(F117,'Currency to EUR'!$A$2:$B$9,2,FALSE),NA())</f>
        <v/>
      </c>
      <c r="S117" s="9">
        <f>I117*R117</f>
        <v/>
      </c>
      <c r="T117" s="9">
        <f>J117*R117</f>
        <v/>
      </c>
      <c r="U117" s="9">
        <f>K117*R117</f>
        <v/>
      </c>
      <c r="V117" s="9">
        <f>L117*R117</f>
        <v/>
      </c>
      <c r="W117" s="9">
        <f>M117*R117</f>
        <v/>
      </c>
      <c r="X117" s="9">
        <f>N117*R117</f>
        <v/>
      </c>
      <c r="Y117" s="9">
        <f>O117*R117</f>
        <v/>
      </c>
      <c r="Z117" s="9">
        <f>P117*R117</f>
        <v/>
      </c>
      <c r="AA117" s="9">
        <f>Y117-Z117</f>
        <v/>
      </c>
      <c r="AB117" s="10">
        <f>IFERROR(S117/W117,0)</f>
        <v/>
      </c>
    </row>
    <row r="118">
      <c r="A118" s="2" t="n">
        <v>60072</v>
      </c>
      <c r="B118" s="2" t="inlineStr">
        <is>
          <t>SUZUKI Yuki</t>
        </is>
      </c>
      <c r="C118" s="2" t="inlineStr">
        <is>
          <t>Experienced manager</t>
        </is>
      </c>
      <c r="D118" s="2" t="inlineStr">
        <is>
          <t>In</t>
        </is>
      </c>
      <c r="E118" s="2" t="inlineStr">
        <is>
          <t>Japan</t>
        </is>
      </c>
      <c r="F118" s="2" t="inlineStr">
        <is>
          <t>JPY</t>
        </is>
      </c>
      <c r="G118" s="8" t="n">
        <v>46023</v>
      </c>
      <c r="H118" s="8" t="n">
        <v>46387</v>
      </c>
      <c r="I118" s="9" t="n">
        <v>800642.77</v>
      </c>
      <c r="J118" s="9" t="n">
        <v>585302.48</v>
      </c>
      <c r="K118" s="9" t="n">
        <v>215340.29</v>
      </c>
      <c r="L118" s="9" t="n">
        <v>2960366.53</v>
      </c>
      <c r="M118" s="9" t="n">
        <v>986788.84</v>
      </c>
      <c r="N118" s="9" t="n">
        <v>13322111.41</v>
      </c>
      <c r="O118" s="9" t="n">
        <v>1938316.48</v>
      </c>
      <c r="P118" s="9" t="n">
        <v>33033.27</v>
      </c>
      <c r="Q118" s="9">
        <f>O118-P118</f>
        <v/>
      </c>
      <c r="R118" s="3">
        <f>IFERROR(VLOOKUP(F118,'Currency to EUR'!$A$2:$B$9,2,FALSE),NA())</f>
        <v/>
      </c>
      <c r="S118" s="9">
        <f>I118*R118</f>
        <v/>
      </c>
      <c r="T118" s="9">
        <f>J118*R118</f>
        <v/>
      </c>
      <c r="U118" s="9">
        <f>K118*R118</f>
        <v/>
      </c>
      <c r="V118" s="9">
        <f>L118*R118</f>
        <v/>
      </c>
      <c r="W118" s="9">
        <f>M118*R118</f>
        <v/>
      </c>
      <c r="X118" s="9">
        <f>N118*R118</f>
        <v/>
      </c>
      <c r="Y118" s="9">
        <f>O118*R118</f>
        <v/>
      </c>
      <c r="Z118" s="9">
        <f>P118*R118</f>
        <v/>
      </c>
      <c r="AA118" s="9">
        <f>Y118-Z118</f>
        <v/>
      </c>
      <c r="AB118" s="10">
        <f>IFERROR(S118/W118,0)</f>
        <v/>
      </c>
    </row>
    <row r="119">
      <c r="A119" s="2" t="n">
        <v>60073</v>
      </c>
      <c r="B119" s="2" t="inlineStr">
        <is>
          <t>TANAKA Sota</t>
        </is>
      </c>
      <c r="C119" s="2" t="inlineStr">
        <is>
          <t>Manager</t>
        </is>
      </c>
      <c r="D119" s="2" t="inlineStr">
        <is>
          <t>In</t>
        </is>
      </c>
      <c r="E119" s="2" t="inlineStr">
        <is>
          <t>Japan</t>
        </is>
      </c>
      <c r="F119" s="2" t="inlineStr">
        <is>
          <t>JPY</t>
        </is>
      </c>
      <c r="G119" s="8" t="n">
        <v>46023</v>
      </c>
      <c r="H119" s="8" t="n">
        <v>46387</v>
      </c>
      <c r="I119" s="9" t="n">
        <v>746326.37</v>
      </c>
      <c r="J119" s="9" t="n">
        <v>643304.91</v>
      </c>
      <c r="K119" s="9" t="n">
        <v>103021.46</v>
      </c>
      <c r="L119" s="9" t="n">
        <v>2179189.3</v>
      </c>
      <c r="M119" s="9" t="n">
        <v>726396.4300000001</v>
      </c>
      <c r="N119" s="9" t="n">
        <v>16739422.41</v>
      </c>
      <c r="O119" s="9" t="n">
        <v>2937826.05</v>
      </c>
      <c r="P119" s="9" t="n">
        <v>405204.98</v>
      </c>
      <c r="Q119" s="9">
        <f>O119-P119</f>
        <v/>
      </c>
      <c r="R119" s="3">
        <f>IFERROR(VLOOKUP(F119,'Currency to EUR'!$A$2:$B$9,2,FALSE),NA())</f>
        <v/>
      </c>
      <c r="S119" s="9">
        <f>I119*R119</f>
        <v/>
      </c>
      <c r="T119" s="9">
        <f>J119*R119</f>
        <v/>
      </c>
      <c r="U119" s="9">
        <f>K119*R119</f>
        <v/>
      </c>
      <c r="V119" s="9">
        <f>L119*R119</f>
        <v/>
      </c>
      <c r="W119" s="9">
        <f>M119*R119</f>
        <v/>
      </c>
      <c r="X119" s="9">
        <f>N119*R119</f>
        <v/>
      </c>
      <c r="Y119" s="9">
        <f>O119*R119</f>
        <v/>
      </c>
      <c r="Z119" s="9">
        <f>P119*R119</f>
        <v/>
      </c>
      <c r="AA119" s="9">
        <f>Y119-Z119</f>
        <v/>
      </c>
      <c r="AB119" s="10">
        <f>IFERROR(S119/W119,0)</f>
        <v/>
      </c>
    </row>
    <row r="120">
      <c r="A120" s="2" t="n">
        <v>60074</v>
      </c>
      <c r="B120" s="2" t="inlineStr">
        <is>
          <t>YAMAMOTO Aoi</t>
        </is>
      </c>
      <c r="C120" s="2" t="inlineStr">
        <is>
          <t>Manager</t>
        </is>
      </c>
      <c r="D120" s="2" t="inlineStr">
        <is>
          <t>In</t>
        </is>
      </c>
      <c r="E120" s="2" t="inlineStr">
        <is>
          <t>Japan</t>
        </is>
      </c>
      <c r="F120" s="2" t="inlineStr">
        <is>
          <t>JPY</t>
        </is>
      </c>
      <c r="G120" s="8" t="n">
        <v>46023</v>
      </c>
      <c r="H120" s="8" t="n">
        <v>46387</v>
      </c>
      <c r="I120" s="9" t="n">
        <v>611864.85</v>
      </c>
      <c r="J120" s="9" t="n">
        <v>429099.87</v>
      </c>
      <c r="K120" s="9" t="n">
        <v>182764.98</v>
      </c>
      <c r="L120" s="9" t="n">
        <v>2330672.55</v>
      </c>
      <c r="M120" s="9" t="n">
        <v>776890.85</v>
      </c>
      <c r="N120" s="9" t="n">
        <v>8379622.06</v>
      </c>
      <c r="O120" s="9" t="n">
        <v>1322015.67</v>
      </c>
      <c r="P120" s="9" t="n">
        <v>73978.21000000001</v>
      </c>
      <c r="Q120" s="9">
        <f>O120-P120</f>
        <v/>
      </c>
      <c r="R120" s="3">
        <f>IFERROR(VLOOKUP(F120,'Currency to EUR'!$A$2:$B$9,2,FALSE),NA())</f>
        <v/>
      </c>
      <c r="S120" s="9">
        <f>I120*R120</f>
        <v/>
      </c>
      <c r="T120" s="9">
        <f>J120*R120</f>
        <v/>
      </c>
      <c r="U120" s="9">
        <f>K120*R120</f>
        <v/>
      </c>
      <c r="V120" s="9">
        <f>L120*R120</f>
        <v/>
      </c>
      <c r="W120" s="9">
        <f>M120*R120</f>
        <v/>
      </c>
      <c r="X120" s="9">
        <f>N120*R120</f>
        <v/>
      </c>
      <c r="Y120" s="9">
        <f>O120*R120</f>
        <v/>
      </c>
      <c r="Z120" s="9">
        <f>P120*R120</f>
        <v/>
      </c>
      <c r="AA120" s="9">
        <f>Y120-Z120</f>
        <v/>
      </c>
      <c r="AB120" s="10">
        <f>IFERROR(S120/W120,0)</f>
        <v/>
      </c>
    </row>
    <row r="121">
      <c r="A121" s="2" t="n">
        <v>60075</v>
      </c>
      <c r="B121" s="2" t="inlineStr">
        <is>
          <t>WATANABE Ren</t>
        </is>
      </c>
      <c r="C121" s="2" t="inlineStr">
        <is>
          <t>Manager</t>
        </is>
      </c>
      <c r="D121" s="2" t="inlineStr">
        <is>
          <t>In</t>
        </is>
      </c>
      <c r="E121" s="2" t="inlineStr">
        <is>
          <t>Japan</t>
        </is>
      </c>
      <c r="F121" s="2" t="inlineStr">
        <is>
          <t>JPY</t>
        </is>
      </c>
      <c r="G121" s="8" t="n">
        <v>46023</v>
      </c>
      <c r="H121" s="8" t="n">
        <v>46387</v>
      </c>
      <c r="I121" s="9" t="n">
        <v>746560.97</v>
      </c>
      <c r="J121" s="9" t="n">
        <v>509885.74</v>
      </c>
      <c r="K121" s="9" t="n">
        <v>236675.23</v>
      </c>
      <c r="L121" s="9" t="n">
        <v>2385516.51</v>
      </c>
      <c r="M121" s="9" t="n">
        <v>795172.17</v>
      </c>
      <c r="N121" s="9" t="n">
        <v>11628252.99</v>
      </c>
      <c r="O121" s="9" t="n">
        <v>1707080.04</v>
      </c>
      <c r="P121" s="9" t="n">
        <v>794662.35</v>
      </c>
      <c r="Q121" s="9">
        <f>O121-P121</f>
        <v/>
      </c>
      <c r="R121" s="3">
        <f>IFERROR(VLOOKUP(F121,'Currency to EUR'!$A$2:$B$9,2,FALSE),NA())</f>
        <v/>
      </c>
      <c r="S121" s="9">
        <f>I121*R121</f>
        <v/>
      </c>
      <c r="T121" s="9">
        <f>J121*R121</f>
        <v/>
      </c>
      <c r="U121" s="9">
        <f>K121*R121</f>
        <v/>
      </c>
      <c r="V121" s="9">
        <f>L121*R121</f>
        <v/>
      </c>
      <c r="W121" s="9">
        <f>M121*R121</f>
        <v/>
      </c>
      <c r="X121" s="9">
        <f>N121*R121</f>
        <v/>
      </c>
      <c r="Y121" s="9">
        <f>O121*R121</f>
        <v/>
      </c>
      <c r="Z121" s="9">
        <f>P121*R121</f>
        <v/>
      </c>
      <c r="AA121" s="9">
        <f>Y121-Z121</f>
        <v/>
      </c>
      <c r="AB121" s="10">
        <f>IFERROR(S121/W121,0)</f>
        <v/>
      </c>
    </row>
    <row r="122">
      <c r="A122" s="2" t="n">
        <v>60076</v>
      </c>
      <c r="B122" s="2" t="inlineStr">
        <is>
          <t>NAKAMURA Hina</t>
        </is>
      </c>
      <c r="C122" s="2" t="inlineStr">
        <is>
          <t>Experienced manager</t>
        </is>
      </c>
      <c r="D122" s="2" t="inlineStr">
        <is>
          <t>In</t>
        </is>
      </c>
      <c r="E122" s="2" t="inlineStr">
        <is>
          <t>Japan</t>
        </is>
      </c>
      <c r="F122" s="2" t="inlineStr">
        <is>
          <t>JPY</t>
        </is>
      </c>
      <c r="G122" s="8" t="n">
        <v>46023</v>
      </c>
      <c r="H122" s="8" t="n">
        <v>46387</v>
      </c>
      <c r="I122" s="9" t="n">
        <v>938187.7</v>
      </c>
      <c r="J122" s="9" t="n">
        <v>821183.54</v>
      </c>
      <c r="K122" s="9" t="n">
        <v>117004.16</v>
      </c>
      <c r="L122" s="9" t="n">
        <v>2846950.08</v>
      </c>
      <c r="M122" s="9" t="n">
        <v>948983.36</v>
      </c>
      <c r="N122" s="9" t="n">
        <v>19981818.41</v>
      </c>
      <c r="O122" s="9" t="n">
        <v>3058841.16</v>
      </c>
      <c r="P122" s="9" t="n">
        <v>27073.5</v>
      </c>
      <c r="Q122" s="9">
        <f>O122-P122</f>
        <v/>
      </c>
      <c r="R122" s="3">
        <f>IFERROR(VLOOKUP(F122,'Currency to EUR'!$A$2:$B$9,2,FALSE),NA())</f>
        <v/>
      </c>
      <c r="S122" s="9">
        <f>I122*R122</f>
        <v/>
      </c>
      <c r="T122" s="9">
        <f>J122*R122</f>
        <v/>
      </c>
      <c r="U122" s="9">
        <f>K122*R122</f>
        <v/>
      </c>
      <c r="V122" s="9">
        <f>L122*R122</f>
        <v/>
      </c>
      <c r="W122" s="9">
        <f>M122*R122</f>
        <v/>
      </c>
      <c r="X122" s="9">
        <f>N122*R122</f>
        <v/>
      </c>
      <c r="Y122" s="9">
        <f>O122*R122</f>
        <v/>
      </c>
      <c r="Z122" s="9">
        <f>P122*R122</f>
        <v/>
      </c>
      <c r="AA122" s="9">
        <f>Y122-Z122</f>
        <v/>
      </c>
      <c r="AB122" s="10">
        <f>IFERROR(S122/W122,0)</f>
        <v/>
      </c>
    </row>
    <row r="123">
      <c r="A123" s="2" t="n">
        <v>60086</v>
      </c>
      <c r="B123" s="2" t="inlineStr">
        <is>
          <t>LI Wei</t>
        </is>
      </c>
      <c r="C123" s="2" t="inlineStr">
        <is>
          <t>Experienced manager</t>
        </is>
      </c>
      <c r="D123" s="2" t="inlineStr">
        <is>
          <t>In</t>
        </is>
      </c>
      <c r="E123" s="2" t="inlineStr">
        <is>
          <t>China</t>
        </is>
      </c>
      <c r="F123" s="2" t="inlineStr">
        <is>
          <t>CNY</t>
        </is>
      </c>
      <c r="G123" s="8" t="n">
        <v>46023</v>
      </c>
      <c r="H123" s="8" t="n">
        <v>46387</v>
      </c>
      <c r="I123" s="9" t="n">
        <v>87897.85000000001</v>
      </c>
      <c r="J123" s="9" t="n">
        <v>90534.78999999999</v>
      </c>
      <c r="K123" s="9" t="n">
        <v>-2636.94</v>
      </c>
      <c r="L123" s="9" t="n">
        <v>307384.93</v>
      </c>
      <c r="M123" s="9" t="n">
        <v>102461.64</v>
      </c>
      <c r="N123" s="9" t="n">
        <v>325758.56</v>
      </c>
      <c r="O123" s="9" t="n">
        <v>57468.6</v>
      </c>
      <c r="P123" s="9" t="n">
        <v>2941.54</v>
      </c>
      <c r="Q123" s="9">
        <f>O123-P123</f>
        <v/>
      </c>
      <c r="R123" s="3">
        <f>IFERROR(VLOOKUP(F123,'Currency to EUR'!$A$2:$B$9,2,FALSE),NA())</f>
        <v/>
      </c>
      <c r="S123" s="9">
        <f>I123*R123</f>
        <v/>
      </c>
      <c r="T123" s="9">
        <f>J123*R123</f>
        <v/>
      </c>
      <c r="U123" s="9">
        <f>K123*R123</f>
        <v/>
      </c>
      <c r="V123" s="9">
        <f>L123*R123</f>
        <v/>
      </c>
      <c r="W123" s="9">
        <f>M123*R123</f>
        <v/>
      </c>
      <c r="X123" s="9">
        <f>N123*R123</f>
        <v/>
      </c>
      <c r="Y123" s="9">
        <f>O123*R123</f>
        <v/>
      </c>
      <c r="Z123" s="9">
        <f>P123*R123</f>
        <v/>
      </c>
      <c r="AA123" s="9">
        <f>Y123-Z123</f>
        <v/>
      </c>
      <c r="AB123" s="10">
        <f>IFERROR(S123/W123,0)</f>
        <v/>
      </c>
    </row>
    <row r="124">
      <c r="A124" s="2" t="n">
        <v>60087</v>
      </c>
      <c r="B124" s="2" t="inlineStr">
        <is>
          <t>WANG Fang</t>
        </is>
      </c>
      <c r="C124" s="2" t="inlineStr">
        <is>
          <t>Experienced manager</t>
        </is>
      </c>
      <c r="D124" s="2" t="inlineStr">
        <is>
          <t>In</t>
        </is>
      </c>
      <c r="E124" s="2" t="inlineStr">
        <is>
          <t>China</t>
        </is>
      </c>
      <c r="F124" s="2" t="inlineStr">
        <is>
          <t>CNY</t>
        </is>
      </c>
      <c r="G124" s="8" t="n">
        <v>46023</v>
      </c>
      <c r="H124" s="8" t="n">
        <v>46387</v>
      </c>
      <c r="I124" s="9" t="n">
        <v>87182.44</v>
      </c>
      <c r="J124" s="9" t="n">
        <v>89797.91</v>
      </c>
      <c r="K124" s="9" t="n">
        <v>-2615.47</v>
      </c>
      <c r="L124" s="9" t="n">
        <v>292693.36</v>
      </c>
      <c r="M124" s="9" t="n">
        <v>97564.45</v>
      </c>
      <c r="N124" s="9" t="n">
        <v>639066.1799999999</v>
      </c>
      <c r="O124" s="9" t="n">
        <v>103252.54</v>
      </c>
      <c r="P124" s="9" t="n">
        <v>0</v>
      </c>
      <c r="Q124" s="9">
        <f>O124-P124</f>
        <v/>
      </c>
      <c r="R124" s="3">
        <f>IFERROR(VLOOKUP(F124,'Currency to EUR'!$A$2:$B$9,2,FALSE),NA())</f>
        <v/>
      </c>
      <c r="S124" s="9">
        <f>I124*R124</f>
        <v/>
      </c>
      <c r="T124" s="9">
        <f>J124*R124</f>
        <v/>
      </c>
      <c r="U124" s="9">
        <f>K124*R124</f>
        <v/>
      </c>
      <c r="V124" s="9">
        <f>L124*R124</f>
        <v/>
      </c>
      <c r="W124" s="9">
        <f>M124*R124</f>
        <v/>
      </c>
      <c r="X124" s="9">
        <f>N124*R124</f>
        <v/>
      </c>
      <c r="Y124" s="9">
        <f>O124*R124</f>
        <v/>
      </c>
      <c r="Z124" s="9">
        <f>P124*R124</f>
        <v/>
      </c>
      <c r="AA124" s="9">
        <f>Y124-Z124</f>
        <v/>
      </c>
      <c r="AB124" s="10">
        <f>IFERROR(S124/W124,0)</f>
        <v/>
      </c>
    </row>
    <row r="125">
      <c r="A125" s="2" t="n">
        <v>60088</v>
      </c>
      <c r="B125" s="2" t="inlineStr">
        <is>
          <t>ZHANG Lei</t>
        </is>
      </c>
      <c r="C125" s="2" t="inlineStr">
        <is>
          <t>Manager</t>
        </is>
      </c>
      <c r="D125" s="2" t="inlineStr">
        <is>
          <t>In</t>
        </is>
      </c>
      <c r="E125" s="2" t="inlineStr">
        <is>
          <t>China</t>
        </is>
      </c>
      <c r="F125" s="2" t="inlineStr">
        <is>
          <t>CNY</t>
        </is>
      </c>
      <c r="G125" s="8" t="n">
        <v>46023</v>
      </c>
      <c r="H125" s="8" t="n">
        <v>46387</v>
      </c>
      <c r="I125" s="9" t="n">
        <v>62671.54</v>
      </c>
      <c r="J125" s="9" t="n">
        <v>51874.93</v>
      </c>
      <c r="K125" s="9" t="n">
        <v>10796.61</v>
      </c>
      <c r="L125" s="9" t="n">
        <v>215898.07</v>
      </c>
      <c r="M125" s="9" t="n">
        <v>71966.02</v>
      </c>
      <c r="N125" s="9" t="n">
        <v>936048.96</v>
      </c>
      <c r="O125" s="9" t="n">
        <v>137791.75</v>
      </c>
      <c r="P125" s="9" t="n">
        <v>9036.629999999999</v>
      </c>
      <c r="Q125" s="9">
        <f>O125-P125</f>
        <v/>
      </c>
      <c r="R125" s="3">
        <f>IFERROR(VLOOKUP(F125,'Currency to EUR'!$A$2:$B$9,2,FALSE),NA())</f>
        <v/>
      </c>
      <c r="S125" s="9">
        <f>I125*R125</f>
        <v/>
      </c>
      <c r="T125" s="9">
        <f>J125*R125</f>
        <v/>
      </c>
      <c r="U125" s="9">
        <f>K125*R125</f>
        <v/>
      </c>
      <c r="V125" s="9">
        <f>L125*R125</f>
        <v/>
      </c>
      <c r="W125" s="9">
        <f>M125*R125</f>
        <v/>
      </c>
      <c r="X125" s="9">
        <f>N125*R125</f>
        <v/>
      </c>
      <c r="Y125" s="9">
        <f>O125*R125</f>
        <v/>
      </c>
      <c r="Z125" s="9">
        <f>P125*R125</f>
        <v/>
      </c>
      <c r="AA125" s="9">
        <f>Y125-Z125</f>
        <v/>
      </c>
      <c r="AB125" s="10">
        <f>IFERROR(S125/W125,0)</f>
        <v/>
      </c>
    </row>
    <row r="126">
      <c r="A126" s="2" t="n">
        <v>60089</v>
      </c>
      <c r="B126" s="2" t="inlineStr">
        <is>
          <t>LIU Yang</t>
        </is>
      </c>
      <c r="C126" s="2" t="inlineStr">
        <is>
          <t>Manager</t>
        </is>
      </c>
      <c r="D126" s="2" t="inlineStr">
        <is>
          <t>In</t>
        </is>
      </c>
      <c r="E126" s="2" t="inlineStr">
        <is>
          <t>China</t>
        </is>
      </c>
      <c r="F126" s="2" t="inlineStr">
        <is>
          <t>CNY</t>
        </is>
      </c>
      <c r="G126" s="8" t="n">
        <v>46023</v>
      </c>
      <c r="H126" s="8" t="n">
        <v>46387</v>
      </c>
      <c r="I126" s="9" t="n">
        <v>68384.7</v>
      </c>
      <c r="J126" s="9" t="n">
        <v>61985.03</v>
      </c>
      <c r="K126" s="9" t="n">
        <v>6399.67</v>
      </c>
      <c r="L126" s="9" t="n">
        <v>226439.02</v>
      </c>
      <c r="M126" s="9" t="n">
        <v>75479.67</v>
      </c>
      <c r="N126" s="9" t="n">
        <v>762678.77</v>
      </c>
      <c r="O126" s="9" t="n">
        <v>124668.8</v>
      </c>
      <c r="P126" s="9" t="n">
        <v>67067.66</v>
      </c>
      <c r="Q126" s="9">
        <f>O126-P126</f>
        <v/>
      </c>
      <c r="R126" s="3">
        <f>IFERROR(VLOOKUP(F126,'Currency to EUR'!$A$2:$B$9,2,FALSE),NA())</f>
        <v/>
      </c>
      <c r="S126" s="9">
        <f>I126*R126</f>
        <v/>
      </c>
      <c r="T126" s="9">
        <f>J126*R126</f>
        <v/>
      </c>
      <c r="U126" s="9">
        <f>K126*R126</f>
        <v/>
      </c>
      <c r="V126" s="9">
        <f>L126*R126</f>
        <v/>
      </c>
      <c r="W126" s="9">
        <f>M126*R126</f>
        <v/>
      </c>
      <c r="X126" s="9">
        <f>N126*R126</f>
        <v/>
      </c>
      <c r="Y126" s="9">
        <f>O126*R126</f>
        <v/>
      </c>
      <c r="Z126" s="9">
        <f>P126*R126</f>
        <v/>
      </c>
      <c r="AA126" s="9">
        <f>Y126-Z126</f>
        <v/>
      </c>
      <c r="AB126" s="10">
        <f>IFERROR(S126/W126,0)</f>
        <v/>
      </c>
    </row>
    <row r="127">
      <c r="A127" s="2" t="n">
        <v>60090</v>
      </c>
      <c r="B127" s="2" t="inlineStr">
        <is>
          <t>CHEN Ming</t>
        </is>
      </c>
      <c r="C127" s="2" t="inlineStr">
        <is>
          <t>Manager</t>
        </is>
      </c>
      <c r="D127" s="2" t="inlineStr">
        <is>
          <t>In</t>
        </is>
      </c>
      <c r="E127" s="2" t="inlineStr">
        <is>
          <t>China</t>
        </is>
      </c>
      <c r="F127" s="2" t="inlineStr">
        <is>
          <t>CNY</t>
        </is>
      </c>
      <c r="G127" s="8" t="n">
        <v>46023</v>
      </c>
      <c r="H127" s="8" t="n">
        <v>46387</v>
      </c>
      <c r="I127" s="9" t="n">
        <v>72453.2</v>
      </c>
      <c r="J127" s="9" t="n">
        <v>74626.8</v>
      </c>
      <c r="K127" s="9" t="n">
        <v>-2173.6</v>
      </c>
      <c r="L127" s="9" t="n">
        <v>214960.41</v>
      </c>
      <c r="M127" s="9" t="n">
        <v>71653.47</v>
      </c>
      <c r="N127" s="9" t="n">
        <v>216790.81</v>
      </c>
      <c r="O127" s="9" t="n">
        <v>33252.6</v>
      </c>
      <c r="P127" s="9" t="n">
        <v>2243.4</v>
      </c>
      <c r="Q127" s="9">
        <f>O127-P127</f>
        <v/>
      </c>
      <c r="R127" s="3">
        <f>IFERROR(VLOOKUP(F127,'Currency to EUR'!$A$2:$B$9,2,FALSE),NA())</f>
        <v/>
      </c>
      <c r="S127" s="9">
        <f>I127*R127</f>
        <v/>
      </c>
      <c r="T127" s="9">
        <f>J127*R127</f>
        <v/>
      </c>
      <c r="U127" s="9">
        <f>K127*R127</f>
        <v/>
      </c>
      <c r="V127" s="9">
        <f>L127*R127</f>
        <v/>
      </c>
      <c r="W127" s="9">
        <f>M127*R127</f>
        <v/>
      </c>
      <c r="X127" s="9">
        <f>N127*R127</f>
        <v/>
      </c>
      <c r="Y127" s="9">
        <f>O127*R127</f>
        <v/>
      </c>
      <c r="Z127" s="9">
        <f>P127*R127</f>
        <v/>
      </c>
      <c r="AA127" s="9">
        <f>Y127-Z127</f>
        <v/>
      </c>
      <c r="AB127" s="10">
        <f>IFERROR(S127/W127,0)</f>
        <v/>
      </c>
    </row>
    <row r="128">
      <c r="A128" s="2" t="n">
        <v>60091</v>
      </c>
      <c r="B128" s="2" t="inlineStr">
        <is>
          <t>YANG Jie</t>
        </is>
      </c>
      <c r="C128" s="2" t="inlineStr">
        <is>
          <t>Manager</t>
        </is>
      </c>
      <c r="D128" s="2" t="inlineStr">
        <is>
          <t>In</t>
        </is>
      </c>
      <c r="E128" s="2" t="inlineStr">
        <is>
          <t>China</t>
        </is>
      </c>
      <c r="F128" s="2" t="inlineStr">
        <is>
          <t>CNY</t>
        </is>
      </c>
      <c r="G128" s="8" t="n">
        <v>46023</v>
      </c>
      <c r="H128" s="8" t="n">
        <v>46387</v>
      </c>
      <c r="I128" s="9" t="n">
        <v>58361.37</v>
      </c>
      <c r="J128" s="9" t="n">
        <v>48559.78</v>
      </c>
      <c r="K128" s="9" t="n">
        <v>9801.59</v>
      </c>
      <c r="L128" s="9" t="n">
        <v>212397.12</v>
      </c>
      <c r="M128" s="9" t="n">
        <v>70799.03999999999</v>
      </c>
      <c r="N128" s="9" t="n">
        <v>421722.6</v>
      </c>
      <c r="O128" s="9" t="n">
        <v>72913.7</v>
      </c>
      <c r="P128" s="9" t="n">
        <v>34029.08</v>
      </c>
      <c r="Q128" s="9">
        <f>O128-P128</f>
        <v/>
      </c>
      <c r="R128" s="3">
        <f>IFERROR(VLOOKUP(F128,'Currency to EUR'!$A$2:$B$9,2,FALSE),NA())</f>
        <v/>
      </c>
      <c r="S128" s="9">
        <f>I128*R128</f>
        <v/>
      </c>
      <c r="T128" s="9">
        <f>J128*R128</f>
        <v/>
      </c>
      <c r="U128" s="9">
        <f>K128*R128</f>
        <v/>
      </c>
      <c r="V128" s="9">
        <f>L128*R128</f>
        <v/>
      </c>
      <c r="W128" s="9">
        <f>M128*R128</f>
        <v/>
      </c>
      <c r="X128" s="9">
        <f>N128*R128</f>
        <v/>
      </c>
      <c r="Y128" s="9">
        <f>O128*R128</f>
        <v/>
      </c>
      <c r="Z128" s="9">
        <f>P128*R128</f>
        <v/>
      </c>
      <c r="AA128" s="9">
        <f>Y128-Z128</f>
        <v/>
      </c>
      <c r="AB128" s="10">
        <f>IFERROR(S128/W128,0)</f>
        <v/>
      </c>
    </row>
    <row r="129">
      <c r="A129" s="2" t="n">
        <v>60092</v>
      </c>
      <c r="B129" s="2" t="inlineStr">
        <is>
          <t>HUANG Wei</t>
        </is>
      </c>
      <c r="C129" s="2" t="inlineStr">
        <is>
          <t>Experienced manager</t>
        </is>
      </c>
      <c r="D129" s="2" t="inlineStr">
        <is>
          <t>In</t>
        </is>
      </c>
      <c r="E129" s="2" t="inlineStr">
        <is>
          <t>China</t>
        </is>
      </c>
      <c r="F129" s="2" t="inlineStr">
        <is>
          <t>CNY</t>
        </is>
      </c>
      <c r="G129" s="8" t="n">
        <v>46023</v>
      </c>
      <c r="H129" s="8" t="n">
        <v>46387</v>
      </c>
      <c r="I129" s="9" t="n">
        <v>87032.14999999999</v>
      </c>
      <c r="J129" s="9" t="n">
        <v>74230.77</v>
      </c>
      <c r="K129" s="9" t="n">
        <v>12801.38</v>
      </c>
      <c r="L129" s="9" t="n">
        <v>302223.65</v>
      </c>
      <c r="M129" s="9" t="n">
        <v>100741.22</v>
      </c>
      <c r="N129" s="9" t="n">
        <v>204353.83</v>
      </c>
      <c r="O129" s="9" t="n">
        <v>29874.43</v>
      </c>
      <c r="P129" s="9" t="n">
        <v>2135.26</v>
      </c>
      <c r="Q129" s="9">
        <f>O129-P129</f>
        <v/>
      </c>
      <c r="R129" s="3">
        <f>IFERROR(VLOOKUP(F129,'Currency to EUR'!$A$2:$B$9,2,FALSE),NA())</f>
        <v/>
      </c>
      <c r="S129" s="9">
        <f>I129*R129</f>
        <v/>
      </c>
      <c r="T129" s="9">
        <f>J129*R129</f>
        <v/>
      </c>
      <c r="U129" s="9">
        <f>K129*R129</f>
        <v/>
      </c>
      <c r="V129" s="9">
        <f>L129*R129</f>
        <v/>
      </c>
      <c r="W129" s="9">
        <f>M129*R129</f>
        <v/>
      </c>
      <c r="X129" s="9">
        <f>N129*R129</f>
        <v/>
      </c>
      <c r="Y129" s="9">
        <f>O129*R129</f>
        <v/>
      </c>
      <c r="Z129" s="9">
        <f>P129*R129</f>
        <v/>
      </c>
      <c r="AA129" s="9">
        <f>Y129-Z129</f>
        <v/>
      </c>
      <c r="AB129" s="10">
        <f>IFERROR(S129/W129,0)</f>
        <v/>
      </c>
    </row>
    <row r="130">
      <c r="A130" s="2" t="n">
        <v>60093</v>
      </c>
      <c r="B130" s="2" t="inlineStr">
        <is>
          <t>ZHAO Xin</t>
        </is>
      </c>
      <c r="C130" s="2" t="inlineStr">
        <is>
          <t>Experienced manager</t>
        </is>
      </c>
      <c r="D130" s="2" t="inlineStr">
        <is>
          <t>In</t>
        </is>
      </c>
      <c r="E130" s="2" t="inlineStr">
        <is>
          <t>China</t>
        </is>
      </c>
      <c r="F130" s="2" t="inlineStr">
        <is>
          <t>CNY</t>
        </is>
      </c>
      <c r="G130" s="8" t="n">
        <v>46023</v>
      </c>
      <c r="H130" s="8" t="n">
        <v>46387</v>
      </c>
      <c r="I130" s="9" t="n">
        <v>93104.7</v>
      </c>
      <c r="J130" s="9" t="n">
        <v>77538.32000000001</v>
      </c>
      <c r="K130" s="9" t="n">
        <v>15566.38</v>
      </c>
      <c r="L130" s="9" t="n">
        <v>300795.03</v>
      </c>
      <c r="M130" s="9" t="n">
        <v>100265.01</v>
      </c>
      <c r="N130" s="9" t="n">
        <v>289965.93</v>
      </c>
      <c r="O130" s="9" t="n">
        <v>47445.57</v>
      </c>
      <c r="P130" s="9" t="n">
        <v>1948.21</v>
      </c>
      <c r="Q130" s="9">
        <f>O130-P130</f>
        <v/>
      </c>
      <c r="R130" s="3">
        <f>IFERROR(VLOOKUP(F130,'Currency to EUR'!$A$2:$B$9,2,FALSE),NA())</f>
        <v/>
      </c>
      <c r="S130" s="9">
        <f>I130*R130</f>
        <v/>
      </c>
      <c r="T130" s="9">
        <f>J130*R130</f>
        <v/>
      </c>
      <c r="U130" s="9">
        <f>K130*R130</f>
        <v/>
      </c>
      <c r="V130" s="9">
        <f>L130*R130</f>
        <v/>
      </c>
      <c r="W130" s="9">
        <f>M130*R130</f>
        <v/>
      </c>
      <c r="X130" s="9">
        <f>N130*R130</f>
        <v/>
      </c>
      <c r="Y130" s="9">
        <f>O130*R130</f>
        <v/>
      </c>
      <c r="Z130" s="9">
        <f>P130*R130</f>
        <v/>
      </c>
      <c r="AA130" s="9">
        <f>Y130-Z130</f>
        <v/>
      </c>
      <c r="AB130" s="10">
        <f>IFERROR(S130/W130,0)</f>
        <v/>
      </c>
    </row>
    <row r="131">
      <c r="A131" s="2" t="n">
        <v>60094</v>
      </c>
      <c r="B131" s="2" t="inlineStr">
        <is>
          <t>WU Jing</t>
        </is>
      </c>
      <c r="C131" s="2" t="inlineStr">
        <is>
          <t>Experienced manager</t>
        </is>
      </c>
      <c r="D131" s="2" t="inlineStr">
        <is>
          <t>In</t>
        </is>
      </c>
      <c r="E131" s="2" t="inlineStr">
        <is>
          <t>China</t>
        </is>
      </c>
      <c r="F131" s="2" t="inlineStr">
        <is>
          <t>CNY</t>
        </is>
      </c>
      <c r="G131" s="8" t="n">
        <v>46023</v>
      </c>
      <c r="H131" s="8" t="n">
        <v>46387</v>
      </c>
      <c r="I131" s="9" t="n">
        <v>89314.14</v>
      </c>
      <c r="J131" s="9" t="n">
        <v>62847.48</v>
      </c>
      <c r="K131" s="9" t="n">
        <v>26466.66</v>
      </c>
      <c r="L131" s="9" t="n">
        <v>307411.5</v>
      </c>
      <c r="M131" s="9" t="n">
        <v>102470.5</v>
      </c>
      <c r="N131" s="9" t="n">
        <v>148089.22</v>
      </c>
      <c r="O131" s="9" t="n">
        <v>25170.17</v>
      </c>
      <c r="P131" s="9" t="n">
        <v>1668.12</v>
      </c>
      <c r="Q131" s="9">
        <f>O131-P131</f>
        <v/>
      </c>
      <c r="R131" s="3">
        <f>IFERROR(VLOOKUP(F131,'Currency to EUR'!$A$2:$B$9,2,FALSE),NA())</f>
        <v/>
      </c>
      <c r="S131" s="9">
        <f>I131*R131</f>
        <v/>
      </c>
      <c r="T131" s="9">
        <f>J131*R131</f>
        <v/>
      </c>
      <c r="U131" s="9">
        <f>K131*R131</f>
        <v/>
      </c>
      <c r="V131" s="9">
        <f>L131*R131</f>
        <v/>
      </c>
      <c r="W131" s="9">
        <f>M131*R131</f>
        <v/>
      </c>
      <c r="X131" s="9">
        <f>N131*R131</f>
        <v/>
      </c>
      <c r="Y131" s="9">
        <f>O131*R131</f>
        <v/>
      </c>
      <c r="Z131" s="9">
        <f>P131*R131</f>
        <v/>
      </c>
      <c r="AA131" s="9">
        <f>Y131-Z131</f>
        <v/>
      </c>
      <c r="AB131" s="10">
        <f>IFERROR(S131/W131,0)</f>
        <v/>
      </c>
    </row>
    <row r="132">
      <c r="A132" s="2" t="n">
        <v>60095</v>
      </c>
      <c r="B132" s="2" t="inlineStr">
        <is>
          <t>ZHOU Hao</t>
        </is>
      </c>
      <c r="C132" s="2" t="inlineStr">
        <is>
          <t>Manager</t>
        </is>
      </c>
      <c r="D132" s="2" t="inlineStr">
        <is>
          <t>In</t>
        </is>
      </c>
      <c r="E132" s="2" t="inlineStr">
        <is>
          <t>China</t>
        </is>
      </c>
      <c r="F132" s="2" t="inlineStr">
        <is>
          <t>CNY</t>
        </is>
      </c>
      <c r="G132" s="8" t="n">
        <v>46023</v>
      </c>
      <c r="H132" s="8" t="n">
        <v>46387</v>
      </c>
      <c r="I132" s="9" t="n">
        <v>66928.41</v>
      </c>
      <c r="J132" s="9" t="n">
        <v>61483.41</v>
      </c>
      <c r="K132" s="9" t="n">
        <v>5445</v>
      </c>
      <c r="L132" s="9" t="n">
        <v>211923.62</v>
      </c>
      <c r="M132" s="9" t="n">
        <v>70641.21000000001</v>
      </c>
      <c r="N132" s="9" t="n">
        <v>700382.54</v>
      </c>
      <c r="O132" s="9" t="n">
        <v>115050.82</v>
      </c>
      <c r="P132" s="9" t="n">
        <v>5265.6</v>
      </c>
      <c r="Q132" s="9">
        <f>O132-P132</f>
        <v/>
      </c>
      <c r="R132" s="3">
        <f>IFERROR(VLOOKUP(F132,'Currency to EUR'!$A$2:$B$9,2,FALSE),NA())</f>
        <v/>
      </c>
      <c r="S132" s="9">
        <f>I132*R132</f>
        <v/>
      </c>
      <c r="T132" s="9">
        <f>J132*R132</f>
        <v/>
      </c>
      <c r="U132" s="9">
        <f>K132*R132</f>
        <v/>
      </c>
      <c r="V132" s="9">
        <f>L132*R132</f>
        <v/>
      </c>
      <c r="W132" s="9">
        <f>M132*R132</f>
        <v/>
      </c>
      <c r="X132" s="9">
        <f>N132*R132</f>
        <v/>
      </c>
      <c r="Y132" s="9">
        <f>O132*R132</f>
        <v/>
      </c>
      <c r="Z132" s="9">
        <f>P132*R132</f>
        <v/>
      </c>
      <c r="AA132" s="9">
        <f>Y132-Z132</f>
        <v/>
      </c>
      <c r="AB132" s="10">
        <f>IFERROR(S132/W132,0)</f>
        <v/>
      </c>
    </row>
    <row r="133">
      <c r="A133" s="2" t="n">
        <v>60096</v>
      </c>
      <c r="B133" s="2" t="inlineStr">
        <is>
          <t>XU Li</t>
        </is>
      </c>
      <c r="C133" s="2" t="inlineStr">
        <is>
          <t>Manager</t>
        </is>
      </c>
      <c r="D133" s="2" t="inlineStr">
        <is>
          <t>In</t>
        </is>
      </c>
      <c r="E133" s="2" t="inlineStr">
        <is>
          <t>China</t>
        </is>
      </c>
      <c r="F133" s="2" t="inlineStr">
        <is>
          <t>CNY</t>
        </is>
      </c>
      <c r="G133" s="8" t="n">
        <v>46023</v>
      </c>
      <c r="H133" s="8" t="n">
        <v>46387</v>
      </c>
      <c r="I133" s="9" t="n">
        <v>68059.67</v>
      </c>
      <c r="J133" s="9" t="n">
        <v>59976.33</v>
      </c>
      <c r="K133" s="9" t="n">
        <v>8083.34</v>
      </c>
      <c r="L133" s="9" t="n">
        <v>226783.17</v>
      </c>
      <c r="M133" s="9" t="n">
        <v>75594.39</v>
      </c>
      <c r="N133" s="9" t="n">
        <v>874812.48</v>
      </c>
      <c r="O133" s="9" t="n">
        <v>147507.2</v>
      </c>
      <c r="P133" s="9" t="n">
        <v>6343.89</v>
      </c>
      <c r="Q133" s="9">
        <f>O133-P133</f>
        <v/>
      </c>
      <c r="R133" s="3">
        <f>IFERROR(VLOOKUP(F133,'Currency to EUR'!$A$2:$B$9,2,FALSE),NA())</f>
        <v/>
      </c>
      <c r="S133" s="9">
        <f>I133*R133</f>
        <v/>
      </c>
      <c r="T133" s="9">
        <f>J133*R133</f>
        <v/>
      </c>
      <c r="U133" s="9">
        <f>K133*R133</f>
        <v/>
      </c>
      <c r="V133" s="9">
        <f>L133*R133</f>
        <v/>
      </c>
      <c r="W133" s="9">
        <f>M133*R133</f>
        <v/>
      </c>
      <c r="X133" s="9">
        <f>N133*R133</f>
        <v/>
      </c>
      <c r="Y133" s="9">
        <f>O133*R133</f>
        <v/>
      </c>
      <c r="Z133" s="9">
        <f>P133*R133</f>
        <v/>
      </c>
      <c r="AA133" s="9">
        <f>Y133-Z133</f>
        <v/>
      </c>
      <c r="AB133" s="10">
        <f>IFERROR(S133/W133,0)</f>
        <v/>
      </c>
    </row>
    <row r="134">
      <c r="A134" s="2" t="n">
        <v>60097</v>
      </c>
      <c r="B134" s="2" t="inlineStr">
        <is>
          <t>SUN Qiang</t>
        </is>
      </c>
      <c r="C134" s="2" t="inlineStr">
        <is>
          <t>Experienced manager</t>
        </is>
      </c>
      <c r="D134" s="2" t="inlineStr">
        <is>
          <t>In</t>
        </is>
      </c>
      <c r="E134" s="2" t="inlineStr">
        <is>
          <t>China</t>
        </is>
      </c>
      <c r="F134" s="2" t="inlineStr">
        <is>
          <t>CNY</t>
        </is>
      </c>
      <c r="G134" s="8" t="n">
        <v>46023</v>
      </c>
      <c r="H134" s="8" t="n">
        <v>46387</v>
      </c>
      <c r="I134" s="9" t="n">
        <v>89020.78999999999</v>
      </c>
      <c r="J134" s="9" t="n">
        <v>68355.66</v>
      </c>
      <c r="K134" s="9" t="n">
        <v>20665.13</v>
      </c>
      <c r="L134" s="9" t="n">
        <v>287564.43</v>
      </c>
      <c r="M134" s="9" t="n">
        <v>95854.81</v>
      </c>
      <c r="N134" s="9" t="n">
        <v>722395.55</v>
      </c>
      <c r="O134" s="9" t="n">
        <v>115559.92</v>
      </c>
      <c r="P134" s="9" t="n">
        <v>4389.98</v>
      </c>
      <c r="Q134" s="9">
        <f>O134-P134</f>
        <v/>
      </c>
      <c r="R134" s="3">
        <f>IFERROR(VLOOKUP(F134,'Currency to EUR'!$A$2:$B$9,2,FALSE),NA())</f>
        <v/>
      </c>
      <c r="S134" s="9">
        <f>I134*R134</f>
        <v/>
      </c>
      <c r="T134" s="9">
        <f>J134*R134</f>
        <v/>
      </c>
      <c r="U134" s="9">
        <f>K134*R134</f>
        <v/>
      </c>
      <c r="V134" s="9">
        <f>L134*R134</f>
        <v/>
      </c>
      <c r="W134" s="9">
        <f>M134*R134</f>
        <v/>
      </c>
      <c r="X134" s="9">
        <f>N134*R134</f>
        <v/>
      </c>
      <c r="Y134" s="9">
        <f>O134*R134</f>
        <v/>
      </c>
      <c r="Z134" s="9">
        <f>P134*R134</f>
        <v/>
      </c>
      <c r="AA134" s="9">
        <f>Y134-Z134</f>
        <v/>
      </c>
      <c r="AB134" s="10">
        <f>IFERROR(S134/W134,0)</f>
        <v/>
      </c>
    </row>
    <row r="135">
      <c r="A135" s="2" t="n">
        <v>60098</v>
      </c>
      <c r="B135" s="2" t="inlineStr">
        <is>
          <t>MA Yan</t>
        </is>
      </c>
      <c r="C135" s="2" t="inlineStr">
        <is>
          <t>Experienced manager</t>
        </is>
      </c>
      <c r="D135" s="2" t="inlineStr">
        <is>
          <t>In</t>
        </is>
      </c>
      <c r="E135" s="2" t="inlineStr">
        <is>
          <t>China</t>
        </is>
      </c>
      <c r="F135" s="2" t="inlineStr">
        <is>
          <t>CNY</t>
        </is>
      </c>
      <c r="G135" s="8" t="n">
        <v>46023</v>
      </c>
      <c r="H135" s="8" t="n">
        <v>46387</v>
      </c>
      <c r="I135" s="9" t="n">
        <v>84903.48</v>
      </c>
      <c r="J135" s="9" t="n">
        <v>74533.21000000001</v>
      </c>
      <c r="K135" s="9" t="n">
        <v>10370.27</v>
      </c>
      <c r="L135" s="9" t="n">
        <v>307200.6</v>
      </c>
      <c r="M135" s="9" t="n">
        <v>102400.2</v>
      </c>
      <c r="N135" s="9" t="n">
        <v>682483.84</v>
      </c>
      <c r="O135" s="9" t="n">
        <v>110394.79</v>
      </c>
      <c r="P135" s="9" t="n">
        <v>12665.37</v>
      </c>
      <c r="Q135" s="9">
        <f>O135-P135</f>
        <v/>
      </c>
      <c r="R135" s="3">
        <f>IFERROR(VLOOKUP(F135,'Currency to EUR'!$A$2:$B$9,2,FALSE),NA())</f>
        <v/>
      </c>
      <c r="S135" s="9">
        <f>I135*R135</f>
        <v/>
      </c>
      <c r="T135" s="9">
        <f>J135*R135</f>
        <v/>
      </c>
      <c r="U135" s="9">
        <f>K135*R135</f>
        <v/>
      </c>
      <c r="V135" s="9">
        <f>L135*R135</f>
        <v/>
      </c>
      <c r="W135" s="9">
        <f>M135*R135</f>
        <v/>
      </c>
      <c r="X135" s="9">
        <f>N135*R135</f>
        <v/>
      </c>
      <c r="Y135" s="9">
        <f>O135*R135</f>
        <v/>
      </c>
      <c r="Z135" s="9">
        <f>P135*R135</f>
        <v/>
      </c>
      <c r="AA135" s="9">
        <f>Y135-Z135</f>
        <v/>
      </c>
      <c r="AB135" s="10">
        <f>IFERROR(S135/W135,0)</f>
        <v/>
      </c>
    </row>
    <row r="136">
      <c r="A136" s="2" t="n">
        <v>60099</v>
      </c>
      <c r="B136" s="2" t="inlineStr">
        <is>
          <t>ZHU Lin</t>
        </is>
      </c>
      <c r="C136" s="2" t="inlineStr">
        <is>
          <t>Manager</t>
        </is>
      </c>
      <c r="D136" s="2" t="inlineStr">
        <is>
          <t>In</t>
        </is>
      </c>
      <c r="E136" s="2" t="inlineStr">
        <is>
          <t>China</t>
        </is>
      </c>
      <c r="F136" s="2" t="inlineStr">
        <is>
          <t>CNY</t>
        </is>
      </c>
      <c r="G136" s="8" t="n">
        <v>46023</v>
      </c>
      <c r="H136" s="8" t="n">
        <v>46387</v>
      </c>
      <c r="I136" s="9" t="n">
        <v>67319.96000000001</v>
      </c>
      <c r="J136" s="9" t="n">
        <v>51933.57</v>
      </c>
      <c r="K136" s="9" t="n">
        <v>15386.39</v>
      </c>
      <c r="L136" s="9" t="n">
        <v>217981.79</v>
      </c>
      <c r="M136" s="9" t="n">
        <v>72660.60000000001</v>
      </c>
      <c r="N136" s="9" t="n">
        <v>447362.14</v>
      </c>
      <c r="O136" s="9" t="n">
        <v>73432.39</v>
      </c>
      <c r="P136" s="9" t="n">
        <v>5455.25</v>
      </c>
      <c r="Q136" s="9">
        <f>O136-P136</f>
        <v/>
      </c>
      <c r="R136" s="3">
        <f>IFERROR(VLOOKUP(F136,'Currency to EUR'!$A$2:$B$9,2,FALSE),NA())</f>
        <v/>
      </c>
      <c r="S136" s="9">
        <f>I136*R136</f>
        <v/>
      </c>
      <c r="T136" s="9">
        <f>J136*R136</f>
        <v/>
      </c>
      <c r="U136" s="9">
        <f>K136*R136</f>
        <v/>
      </c>
      <c r="V136" s="9">
        <f>L136*R136</f>
        <v/>
      </c>
      <c r="W136" s="9">
        <f>M136*R136</f>
        <v/>
      </c>
      <c r="X136" s="9">
        <f>N136*R136</f>
        <v/>
      </c>
      <c r="Y136" s="9">
        <f>O136*R136</f>
        <v/>
      </c>
      <c r="Z136" s="9">
        <f>P136*R136</f>
        <v/>
      </c>
      <c r="AA136" s="9">
        <f>Y136-Z136</f>
        <v/>
      </c>
      <c r="AB136" s="10">
        <f>IFERROR(S136/W136,0)</f>
        <v/>
      </c>
    </row>
    <row r="137">
      <c r="A137" s="2" t="n">
        <v>60100</v>
      </c>
      <c r="B137" s="2" t="inlineStr">
        <is>
          <t>HU Jun</t>
        </is>
      </c>
      <c r="C137" s="2" t="inlineStr">
        <is>
          <t>Manager</t>
        </is>
      </c>
      <c r="D137" s="2" t="inlineStr">
        <is>
          <t>In</t>
        </is>
      </c>
      <c r="E137" s="2" t="inlineStr">
        <is>
          <t>China</t>
        </is>
      </c>
      <c r="F137" s="2" t="inlineStr">
        <is>
          <t>CNY</t>
        </is>
      </c>
      <c r="G137" s="8" t="n">
        <v>46023</v>
      </c>
      <c r="H137" s="8" t="n">
        <v>46387</v>
      </c>
      <c r="I137" s="9" t="n">
        <v>70730.91</v>
      </c>
      <c r="J137" s="9" t="n">
        <v>64367.55</v>
      </c>
      <c r="K137" s="9" t="n">
        <v>6363.36</v>
      </c>
      <c r="L137" s="9" t="n">
        <v>230057.12</v>
      </c>
      <c r="M137" s="9" t="n">
        <v>76685.71000000001</v>
      </c>
      <c r="N137" s="9" t="n">
        <v>377369.54</v>
      </c>
      <c r="O137" s="9" t="n">
        <v>66803.2</v>
      </c>
      <c r="P137" s="9" t="n">
        <v>1943.62</v>
      </c>
      <c r="Q137" s="9">
        <f>O137-P137</f>
        <v/>
      </c>
      <c r="R137" s="3">
        <f>IFERROR(VLOOKUP(F137,'Currency to EUR'!$A$2:$B$9,2,FALSE),NA())</f>
        <v/>
      </c>
      <c r="S137" s="9">
        <f>I137*R137</f>
        <v/>
      </c>
      <c r="T137" s="9">
        <f>J137*R137</f>
        <v/>
      </c>
      <c r="U137" s="9">
        <f>K137*R137</f>
        <v/>
      </c>
      <c r="V137" s="9">
        <f>L137*R137</f>
        <v/>
      </c>
      <c r="W137" s="9">
        <f>M137*R137</f>
        <v/>
      </c>
      <c r="X137" s="9">
        <f>N137*R137</f>
        <v/>
      </c>
      <c r="Y137" s="9">
        <f>O137*R137</f>
        <v/>
      </c>
      <c r="Z137" s="9">
        <f>P137*R137</f>
        <v/>
      </c>
      <c r="AA137" s="9">
        <f>Y137-Z137</f>
        <v/>
      </c>
      <c r="AB137" s="10">
        <f>IFERROR(S137/W137,0)</f>
        <v/>
      </c>
    </row>
  </sheetData>
  <autoFilter ref="A1:AB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2026-09-11T15:14:28Z</dcterms:created>
  <dcterms:modified xmlns:dcterms="http://purl.org/dc/terms/" xmlns:xsi="http://www.w3.org/2001/XMLSchema-instance" xsi:type="dcterms:W3CDTF">2026-09-11T15:14:29Z</dcterms:modified>
</cp:coreProperties>
</file>