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72BD5CE6-D1AB-4EBD-B486-CB3B8707542B}" xr6:coauthVersionLast="47" xr6:coauthVersionMax="47" xr10:uidLastSave="{00000000-0000-0000-0000-000000000000}"/>
  <bookViews>
    <workbookView xWindow="-120" yWindow="-120" windowWidth="38640" windowHeight="21120" tabRatio="500" activeTab="8" xr2:uid="{00000000-000D-0000-FFFF-FFFF00000000}"/>
  </bookViews>
  <sheets>
    <sheet name="00 Summary" sheetId="1" r:id="rId1"/>
    <sheet name="01 Market" sheetId="2" r:id="rId2"/>
    <sheet name="02 Fee Schedule" sheetId="3" r:id="rId3"/>
    <sheet name="03 Strategy" sheetId="4" r:id="rId4"/>
    <sheet name="04 Operations" sheetId="5" r:id="rId5"/>
    <sheet name="05 P&amp;L" sheetId="6" r:id="rId6"/>
    <sheet name="06 Cash Flow" sheetId="7" r:id="rId7"/>
    <sheet name="08 Scenarios" sheetId="8" r:id="rId8"/>
    <sheet name="09 Checks" sheetId="9" r:id="rId9"/>
  </sheets>
  <definedNames>
    <definedName name="_xlnm.Print_Area" localSheetId="0">'00 Summary'!$B$2:$J$36</definedName>
    <definedName name="_xlnm.Print_Area" localSheetId="1">'01 Market'!$B$2:$J$35</definedName>
    <definedName name="_xlnm.Print_Area" localSheetId="2">'02 Fee Schedule'!$B$2:$J$25</definedName>
    <definedName name="_xlnm.Print_Area" localSheetId="3">'03 Strategy'!$B$2:$J$44</definedName>
    <definedName name="_xlnm.Print_Area" localSheetId="4">'04 Operations'!$B$2:$J$43</definedName>
    <definedName name="_xlnm.Print_Area" localSheetId="5">'05 P&amp;L'!$B$2:$J$43</definedName>
    <definedName name="_xlnm.Print_Area" localSheetId="6">'06 Cash Flow'!$B$2:$J$47</definedName>
    <definedName name="_xlnm.Print_Area" localSheetId="7">'08 Scenarios'!$B$2:$J$64</definedName>
    <definedName name="_xlnm.Print_Area" localSheetId="8">'09 Checks'!$B$2:$J$44</definedName>
    <definedName name="_xlnm.Print_Titles" localSheetId="0">'00 Summary'!$7:$7</definedName>
    <definedName name="_xlnm.Print_Titles" localSheetId="1">'01 Market'!$5:$5</definedName>
    <definedName name="_xlnm.Print_Titles" localSheetId="2">'02 Fee Schedule'!$5:$5</definedName>
    <definedName name="_xlnm.Print_Titles" localSheetId="3">'03 Strategy'!$5:$5</definedName>
    <definedName name="_xlnm.Print_Titles" localSheetId="4">'04 Operations'!$5:$5</definedName>
    <definedName name="_xlnm.Print_Titles" localSheetId="5">'05 P&amp;L'!$5:$5</definedName>
    <definedName name="_xlnm.Print_Titles" localSheetId="6">'06 Cash Flow'!$6:$6</definedName>
    <definedName name="_xlnm.Print_Titles" localSheetId="7">'08 Scenarios'!$6:$6</definedName>
    <definedName name="_xlnm.Print_Titles" localSheetId="8">'09 Checks'!$5:$5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1" i="8" l="1"/>
  <c r="G51" i="8"/>
  <c r="G32" i="2" s="1"/>
  <c r="F51" i="8"/>
  <c r="E51" i="8"/>
  <c r="H45" i="8"/>
  <c r="G45" i="8"/>
  <c r="G29" i="2" s="1"/>
  <c r="F45" i="8"/>
  <c r="F29" i="2" s="1"/>
  <c r="E45" i="8"/>
  <c r="E29" i="2" s="1"/>
  <c r="H39" i="8"/>
  <c r="G39" i="8"/>
  <c r="G28" i="2" s="1"/>
  <c r="F39" i="8"/>
  <c r="E39" i="8"/>
  <c r="H33" i="8"/>
  <c r="G33" i="8"/>
  <c r="G27" i="2" s="1"/>
  <c r="G16" i="9" s="1"/>
  <c r="F33" i="8"/>
  <c r="F27" i="2" s="1"/>
  <c r="E33" i="8"/>
  <c r="E27" i="2" s="1"/>
  <c r="E16" i="9" s="1"/>
  <c r="H27" i="8"/>
  <c r="G27" i="8"/>
  <c r="F27" i="8"/>
  <c r="E27" i="8"/>
  <c r="H21" i="8"/>
  <c r="G21" i="8"/>
  <c r="G19" i="2" s="1"/>
  <c r="G24" i="2" s="1"/>
  <c r="G25" i="1" s="1"/>
  <c r="F21" i="8"/>
  <c r="F19" i="2" s="1"/>
  <c r="F24" i="2" s="1"/>
  <c r="F25" i="1" s="1"/>
  <c r="E21" i="8"/>
  <c r="E19" i="2" s="1"/>
  <c r="E24" i="2" s="1"/>
  <c r="E25" i="1" s="1"/>
  <c r="H18" i="8"/>
  <c r="G18" i="8"/>
  <c r="H16" i="8"/>
  <c r="G16" i="8"/>
  <c r="H15" i="8"/>
  <c r="G15" i="8"/>
  <c r="G14" i="2" s="1"/>
  <c r="F15" i="8"/>
  <c r="F14" i="2" s="1"/>
  <c r="E15" i="8"/>
  <c r="E14" i="2" s="1"/>
  <c r="H9" i="8"/>
  <c r="G9" i="8"/>
  <c r="F9" i="8"/>
  <c r="E9" i="8"/>
  <c r="H30" i="6"/>
  <c r="G30" i="6"/>
  <c r="F30" i="6"/>
  <c r="E30" i="6"/>
  <c r="H28" i="6"/>
  <c r="G28" i="6"/>
  <c r="F28" i="6"/>
  <c r="E28" i="6"/>
  <c r="H27" i="6"/>
  <c r="G27" i="6"/>
  <c r="F27" i="6"/>
  <c r="E27" i="6"/>
  <c r="H24" i="6"/>
  <c r="G24" i="6"/>
  <c r="F24" i="6"/>
  <c r="E24" i="6"/>
  <c r="H14" i="6"/>
  <c r="G14" i="6"/>
  <c r="F14" i="6"/>
  <c r="E14" i="6"/>
  <c r="H42" i="5"/>
  <c r="G42" i="5"/>
  <c r="F42" i="5"/>
  <c r="E42" i="5"/>
  <c r="H37" i="5"/>
  <c r="G37" i="5"/>
  <c r="G38" i="5" s="1"/>
  <c r="F37" i="5"/>
  <c r="E37" i="5"/>
  <c r="H36" i="5"/>
  <c r="G36" i="5"/>
  <c r="F36" i="5"/>
  <c r="E36" i="5"/>
  <c r="H29" i="4"/>
  <c r="H31" i="6" s="1"/>
  <c r="G29" i="4"/>
  <c r="G31" i="6" s="1"/>
  <c r="F29" i="4"/>
  <c r="F31" i="6" s="1"/>
  <c r="E29" i="4"/>
  <c r="E31" i="6" s="1"/>
  <c r="H27" i="4"/>
  <c r="G27" i="4"/>
  <c r="F27" i="4"/>
  <c r="E27" i="4"/>
  <c r="H14" i="4"/>
  <c r="H10" i="4" s="1"/>
  <c r="G14" i="4"/>
  <c r="G29" i="6" s="1"/>
  <c r="F14" i="4"/>
  <c r="F25" i="6" s="1"/>
  <c r="E14" i="4"/>
  <c r="E10" i="4" s="1"/>
  <c r="E13" i="2" s="1"/>
  <c r="H32" i="2"/>
  <c r="F32" i="2"/>
  <c r="E32" i="2"/>
  <c r="H29" i="2"/>
  <c r="H28" i="2"/>
  <c r="F28" i="2"/>
  <c r="E28" i="2"/>
  <c r="H27" i="2"/>
  <c r="H16" i="9" s="1"/>
  <c r="H19" i="2"/>
  <c r="H24" i="2" s="1"/>
  <c r="H25" i="1" s="1"/>
  <c r="H14" i="2"/>
  <c r="E11" i="2"/>
  <c r="F11" i="2" s="1"/>
  <c r="G11" i="2" s="1"/>
  <c r="E4" i="1"/>
  <c r="E15" i="2" l="1"/>
  <c r="E19" i="9" s="1"/>
  <c r="H11" i="4"/>
  <c r="H32" i="6" s="1"/>
  <c r="H13" i="2"/>
  <c r="F38" i="5"/>
  <c r="F38" i="9" s="1"/>
  <c r="G10" i="4"/>
  <c r="H38" i="5"/>
  <c r="H33" i="6" s="1"/>
  <c r="H39" i="9" s="1"/>
  <c r="G12" i="2"/>
  <c r="H11" i="2"/>
  <c r="H12" i="2" s="1"/>
  <c r="H15" i="2" s="1"/>
  <c r="G33" i="6"/>
  <c r="G39" i="9" s="1"/>
  <c r="G38" i="9"/>
  <c r="E25" i="6"/>
  <c r="F29" i="6"/>
  <c r="F10" i="4"/>
  <c r="E29" i="6"/>
  <c r="F12" i="2"/>
  <c r="F16" i="9"/>
  <c r="H25" i="6"/>
  <c r="H32" i="4"/>
  <c r="E32" i="4"/>
  <c r="H29" i="6"/>
  <c r="G25" i="6"/>
  <c r="G32" i="4"/>
  <c r="E11" i="4"/>
  <c r="E32" i="6" s="1"/>
  <c r="E38" i="5"/>
  <c r="F32" i="4"/>
  <c r="E24" i="1" l="1"/>
  <c r="E57" i="8"/>
  <c r="E16" i="2"/>
  <c r="E9" i="5" s="1"/>
  <c r="E10" i="5" s="1"/>
  <c r="E11" i="5" s="1"/>
  <c r="E12" i="6"/>
  <c r="E18" i="1" s="1"/>
  <c r="F33" i="6"/>
  <c r="F39" i="9" s="1"/>
  <c r="H38" i="9"/>
  <c r="H40" i="9" s="1"/>
  <c r="G11" i="4"/>
  <c r="G32" i="6" s="1"/>
  <c r="G13" i="2"/>
  <c r="G15" i="2" s="1"/>
  <c r="G19" i="9" s="1"/>
  <c r="G40" i="9"/>
  <c r="F11" i="4"/>
  <c r="F32" i="6" s="1"/>
  <c r="F13" i="2"/>
  <c r="F15" i="2" s="1"/>
  <c r="E15" i="4"/>
  <c r="E38" i="9"/>
  <c r="E33" i="6"/>
  <c r="E39" i="9" s="1"/>
  <c r="H19" i="9"/>
  <c r="H57" i="8"/>
  <c r="H24" i="1"/>
  <c r="F40" i="9"/>
  <c r="E58" i="8" l="1"/>
  <c r="E13" i="6"/>
  <c r="E19" i="1" s="1"/>
  <c r="E26" i="1"/>
  <c r="G24" i="1"/>
  <c r="H12" i="6"/>
  <c r="H18" i="1" s="1"/>
  <c r="G57" i="8"/>
  <c r="H16" i="2"/>
  <c r="H9" i="5" s="1"/>
  <c r="H10" i="5" s="1"/>
  <c r="F24" i="1"/>
  <c r="F19" i="9"/>
  <c r="F57" i="8"/>
  <c r="G16" i="2"/>
  <c r="G12" i="6"/>
  <c r="G18" i="1" s="1"/>
  <c r="F12" i="6"/>
  <c r="F18" i="1" s="1"/>
  <c r="F16" i="2"/>
  <c r="E15" i="5"/>
  <c r="E16" i="5" s="1"/>
  <c r="E21" i="5"/>
  <c r="E26" i="6"/>
  <c r="E34" i="6" s="1"/>
  <c r="E31" i="4"/>
  <c r="E30" i="4" s="1"/>
  <c r="E40" i="9"/>
  <c r="E12" i="5"/>
  <c r="H15" i="4" l="1"/>
  <c r="H26" i="6" s="1"/>
  <c r="H34" i="6" s="1"/>
  <c r="G15" i="4"/>
  <c r="G9" i="5"/>
  <c r="G10" i="5" s="1"/>
  <c r="H13" i="6"/>
  <c r="H19" i="1" s="1"/>
  <c r="H58" i="8"/>
  <c r="H11" i="5"/>
  <c r="H12" i="5" s="1"/>
  <c r="H15" i="9" s="1"/>
  <c r="H26" i="1"/>
  <c r="E22" i="5"/>
  <c r="E25" i="5" s="1"/>
  <c r="E17" i="5"/>
  <c r="E18" i="5" s="1"/>
  <c r="E15" i="9"/>
  <c r="E26" i="5"/>
  <c r="E40" i="7"/>
  <c r="E17" i="7" s="1"/>
  <c r="E18" i="7" s="1"/>
  <c r="E39" i="6"/>
  <c r="E10" i="7" s="1"/>
  <c r="E15" i="6"/>
  <c r="E16" i="6" s="1"/>
  <c r="E20" i="1" s="1"/>
  <c r="E8" i="6"/>
  <c r="F9" i="5"/>
  <c r="F10" i="5" s="1"/>
  <c r="F15" i="4"/>
  <c r="H31" i="4" l="1"/>
  <c r="H30" i="4" s="1"/>
  <c r="H40" i="7" s="1"/>
  <c r="H17" i="7" s="1"/>
  <c r="H18" i="7" s="1"/>
  <c r="E9" i="9"/>
  <c r="E23" i="5"/>
  <c r="E27" i="5"/>
  <c r="E32" i="7" s="1"/>
  <c r="F13" i="6"/>
  <c r="F19" i="1" s="1"/>
  <c r="F11" i="5"/>
  <c r="F26" i="1"/>
  <c r="F58" i="8"/>
  <c r="H22" i="5"/>
  <c r="H17" i="5"/>
  <c r="E31" i="7"/>
  <c r="G58" i="8"/>
  <c r="G11" i="5"/>
  <c r="G26" i="1"/>
  <c r="G13" i="6"/>
  <c r="G19" i="1" s="1"/>
  <c r="F26" i="6"/>
  <c r="F34" i="6" s="1"/>
  <c r="F31" i="4"/>
  <c r="F30" i="4" s="1"/>
  <c r="E9" i="6"/>
  <c r="E10" i="9" s="1"/>
  <c r="H15" i="5"/>
  <c r="H16" i="5" s="1"/>
  <c r="H21" i="5"/>
  <c r="G26" i="6"/>
  <c r="G34" i="6" s="1"/>
  <c r="G31" i="4"/>
  <c r="G30" i="4" s="1"/>
  <c r="G40" i="7" s="1"/>
  <c r="G17" i="7" s="1"/>
  <c r="G18" i="7" s="1"/>
  <c r="E26" i="9" l="1"/>
  <c r="F40" i="7"/>
  <c r="F17" i="7" s="1"/>
  <c r="F18" i="7" s="1"/>
  <c r="H39" i="6"/>
  <c r="H10" i="7" s="1"/>
  <c r="G39" i="6"/>
  <c r="G10" i="7" s="1"/>
  <c r="F39" i="6"/>
  <c r="F10" i="7" s="1"/>
  <c r="G21" i="5"/>
  <c r="G15" i="5"/>
  <c r="H26" i="5"/>
  <c r="H25" i="5"/>
  <c r="G12" i="5"/>
  <c r="H23" i="5"/>
  <c r="H27" i="5"/>
  <c r="H32" i="7" s="1"/>
  <c r="F15" i="5"/>
  <c r="F21" i="5"/>
  <c r="E24" i="5"/>
  <c r="E28" i="5" s="1"/>
  <c r="H8" i="6"/>
  <c r="H15" i="6"/>
  <c r="H16" i="6" s="1"/>
  <c r="H20" i="1" s="1"/>
  <c r="H18" i="5"/>
  <c r="H9" i="6" s="1"/>
  <c r="H10" i="9" s="1"/>
  <c r="E27" i="7"/>
  <c r="F12" i="5"/>
  <c r="E10" i="6"/>
  <c r="E11" i="6" s="1"/>
  <c r="E33" i="9" l="1"/>
  <c r="H26" i="9"/>
  <c r="E25" i="7"/>
  <c r="E29" i="5"/>
  <c r="E30" i="5" s="1"/>
  <c r="E17" i="6"/>
  <c r="E17" i="1"/>
  <c r="E19" i="6"/>
  <c r="E11" i="9" s="1"/>
  <c r="E33" i="7"/>
  <c r="E34" i="7" s="1"/>
  <c r="E29" i="9" s="1"/>
  <c r="E28" i="7"/>
  <c r="E12" i="7" s="1"/>
  <c r="H10" i="6"/>
  <c r="H11" i="6" s="1"/>
  <c r="H9" i="9"/>
  <c r="G26" i="5"/>
  <c r="E27" i="9"/>
  <c r="H31" i="7"/>
  <c r="H27" i="7"/>
  <c r="E37" i="7"/>
  <c r="E31" i="5"/>
  <c r="E35" i="9" s="1"/>
  <c r="E34" i="9" s="1"/>
  <c r="E41" i="5"/>
  <c r="E43" i="5" s="1"/>
  <c r="E21" i="6" s="1"/>
  <c r="E43" i="9" s="1"/>
  <c r="E44" i="9" s="1"/>
  <c r="H24" i="5"/>
  <c r="H33" i="9" s="1"/>
  <c r="F16" i="5"/>
  <c r="F15" i="6" s="1"/>
  <c r="F16" i="6" s="1"/>
  <c r="F20" i="1" s="1"/>
  <c r="G17" i="5"/>
  <c r="G22" i="5"/>
  <c r="G25" i="5" s="1"/>
  <c r="G15" i="9"/>
  <c r="F22" i="5"/>
  <c r="F25" i="5" s="1"/>
  <c r="F17" i="5"/>
  <c r="F18" i="5" s="1"/>
  <c r="F15" i="9"/>
  <c r="F26" i="5"/>
  <c r="G16" i="5"/>
  <c r="G8" i="6" s="1"/>
  <c r="E22" i="7" l="1"/>
  <c r="G15" i="6"/>
  <c r="G16" i="6" s="1"/>
  <c r="G20" i="1" s="1"/>
  <c r="F23" i="5"/>
  <c r="F27" i="5"/>
  <c r="F32" i="7" s="1"/>
  <c r="H25" i="7"/>
  <c r="H29" i="5"/>
  <c r="H17" i="1"/>
  <c r="H17" i="6"/>
  <c r="H19" i="6"/>
  <c r="H11" i="9" s="1"/>
  <c r="G9" i="9"/>
  <c r="G31" i="7"/>
  <c r="F8" i="6"/>
  <c r="E59" i="8"/>
  <c r="E14" i="9"/>
  <c r="E22" i="6"/>
  <c r="E35" i="6" s="1"/>
  <c r="E11" i="1"/>
  <c r="E21" i="1" s="1"/>
  <c r="E18" i="6"/>
  <c r="E27" i="1" s="1"/>
  <c r="G27" i="5"/>
  <c r="G32" i="7" s="1"/>
  <c r="G23" i="5"/>
  <c r="H41" i="5"/>
  <c r="H43" i="5" s="1"/>
  <c r="H21" i="6" s="1"/>
  <c r="H43" i="9" s="1"/>
  <c r="H44" i="9" s="1"/>
  <c r="H37" i="7"/>
  <c r="H31" i="5"/>
  <c r="H35" i="9" s="1"/>
  <c r="H34" i="9" s="1"/>
  <c r="H28" i="5"/>
  <c r="F27" i="7"/>
  <c r="F31" i="7"/>
  <c r="F9" i="6"/>
  <c r="F10" i="9" s="1"/>
  <c r="G18" i="5"/>
  <c r="G9" i="6" s="1"/>
  <c r="E28" i="9"/>
  <c r="E30" i="9" s="1"/>
  <c r="E32" i="5"/>
  <c r="E46" i="7"/>
  <c r="E47" i="7" s="1"/>
  <c r="E26" i="7"/>
  <c r="E11" i="7" s="1"/>
  <c r="E23" i="9" l="1"/>
  <c r="E34" i="1" s="1"/>
  <c r="G10" i="9"/>
  <c r="G10" i="6"/>
  <c r="G11" i="6" s="1"/>
  <c r="E40" i="6"/>
  <c r="E60" i="8"/>
  <c r="E12" i="1"/>
  <c r="G26" i="9"/>
  <c r="E36" i="6"/>
  <c r="G24" i="5"/>
  <c r="G33" i="9" s="1"/>
  <c r="G27" i="7"/>
  <c r="G28" i="7" s="1"/>
  <c r="G12" i="7" s="1"/>
  <c r="F26" i="9"/>
  <c r="F33" i="7"/>
  <c r="F34" i="7" s="1"/>
  <c r="F29" i="9" s="1"/>
  <c r="F28" i="7"/>
  <c r="F12" i="7" s="1"/>
  <c r="H27" i="9"/>
  <c r="H30" i="5"/>
  <c r="F10" i="6"/>
  <c r="F11" i="6" s="1"/>
  <c r="F9" i="9"/>
  <c r="H14" i="9"/>
  <c r="H22" i="6"/>
  <c r="H35" i="6" s="1"/>
  <c r="H36" i="6" s="1"/>
  <c r="H59" i="8"/>
  <c r="H11" i="1"/>
  <c r="H18" i="6"/>
  <c r="H27" i="1" s="1"/>
  <c r="F24" i="5"/>
  <c r="F28" i="5" s="1"/>
  <c r="G33" i="7" l="1"/>
  <c r="G34" i="7" s="1"/>
  <c r="G29" i="9" s="1"/>
  <c r="H20" i="9"/>
  <c r="H13" i="1"/>
  <c r="E41" i="6"/>
  <c r="E42" i="6"/>
  <c r="F37" i="7"/>
  <c r="F31" i="5"/>
  <c r="F35" i="9" s="1"/>
  <c r="F41" i="5"/>
  <c r="F43" i="5" s="1"/>
  <c r="F21" i="6" s="1"/>
  <c r="F43" i="9" s="1"/>
  <c r="F44" i="9" s="1"/>
  <c r="H32" i="5"/>
  <c r="H46" i="7"/>
  <c r="H28" i="9"/>
  <c r="E20" i="9"/>
  <c r="E13" i="1"/>
  <c r="F27" i="9"/>
  <c r="G41" i="5"/>
  <c r="G43" i="5" s="1"/>
  <c r="G21" i="6" s="1"/>
  <c r="G43" i="9" s="1"/>
  <c r="G44" i="9" s="1"/>
  <c r="G37" i="7"/>
  <c r="G31" i="5"/>
  <c r="G35" i="9" s="1"/>
  <c r="G34" i="9" s="1"/>
  <c r="G25" i="7"/>
  <c r="H26" i="7" s="1"/>
  <c r="H11" i="7" s="1"/>
  <c r="G17" i="6"/>
  <c r="G17" i="1"/>
  <c r="G29" i="5"/>
  <c r="G19" i="6"/>
  <c r="G11" i="9" s="1"/>
  <c r="F25" i="7"/>
  <c r="F29" i="5"/>
  <c r="F30" i="5" s="1"/>
  <c r="F17" i="6"/>
  <c r="F17" i="1"/>
  <c r="F19" i="6"/>
  <c r="F11" i="9" s="1"/>
  <c r="H60" i="8"/>
  <c r="H12" i="1"/>
  <c r="H33" i="1" s="1"/>
  <c r="H40" i="6"/>
  <c r="H41" i="6" s="1"/>
  <c r="F33" i="9"/>
  <c r="H33" i="7"/>
  <c r="H34" i="7" s="1"/>
  <c r="H29" i="9" s="1"/>
  <c r="H28" i="7"/>
  <c r="H12" i="7" s="1"/>
  <c r="H32" i="1"/>
  <c r="H31" i="1"/>
  <c r="H21" i="1"/>
  <c r="F22" i="7"/>
  <c r="G28" i="5"/>
  <c r="G22" i="7" l="1"/>
  <c r="H22" i="7"/>
  <c r="E43" i="6"/>
  <c r="E9" i="7" s="1"/>
  <c r="E14" i="7" s="1"/>
  <c r="E20" i="7" s="1"/>
  <c r="H30" i="9"/>
  <c r="H23" i="9" s="1"/>
  <c r="H34" i="1" s="1"/>
  <c r="F28" i="9"/>
  <c r="F30" i="9" s="1"/>
  <c r="F32" i="5"/>
  <c r="F46" i="7"/>
  <c r="F47" i="7" s="1"/>
  <c r="G27" i="9"/>
  <c r="G30" i="5"/>
  <c r="G26" i="7"/>
  <c r="G11" i="7" s="1"/>
  <c r="F26" i="7"/>
  <c r="F11" i="7" s="1"/>
  <c r="F34" i="9"/>
  <c r="F59" i="8"/>
  <c r="F22" i="6"/>
  <c r="F35" i="6" s="1"/>
  <c r="F36" i="6" s="1"/>
  <c r="F14" i="9"/>
  <c r="F11" i="1"/>
  <c r="F21" i="1" s="1"/>
  <c r="F18" i="6"/>
  <c r="F27" i="1" s="1"/>
  <c r="G14" i="9"/>
  <c r="G22" i="6"/>
  <c r="G35" i="6" s="1"/>
  <c r="G59" i="8"/>
  <c r="G11" i="1"/>
  <c r="G21" i="1" s="1"/>
  <c r="G18" i="6"/>
  <c r="G27" i="1" s="1"/>
  <c r="E61" i="8" l="1"/>
  <c r="F20" i="9"/>
  <c r="F13" i="1"/>
  <c r="E62" i="8"/>
  <c r="E41" i="7"/>
  <c r="F23" i="9"/>
  <c r="F34" i="1" s="1"/>
  <c r="G60" i="8"/>
  <c r="G40" i="6"/>
  <c r="G41" i="6" s="1"/>
  <c r="G12" i="1"/>
  <c r="G36" i="6"/>
  <c r="F40" i="6"/>
  <c r="F60" i="8"/>
  <c r="F12" i="1"/>
  <c r="G46" i="7"/>
  <c r="G28" i="9"/>
  <c r="G30" i="9" s="1"/>
  <c r="G23" i="9" s="1"/>
  <c r="G34" i="1" s="1"/>
  <c r="G32" i="5"/>
  <c r="F41" i="6" l="1"/>
  <c r="F42" i="6"/>
  <c r="H42" i="6"/>
  <c r="H43" i="6" s="1"/>
  <c r="G42" i="6"/>
  <c r="G43" i="6" s="1"/>
  <c r="G20" i="9"/>
  <c r="G13" i="1"/>
  <c r="E43" i="7"/>
  <c r="E35" i="1" s="1"/>
  <c r="E14" i="1"/>
  <c r="G47" i="7"/>
  <c r="H47" i="7"/>
  <c r="G9" i="7" l="1"/>
  <c r="G14" i="7" s="1"/>
  <c r="G20" i="7" s="1"/>
  <c r="G62" i="8" s="1"/>
  <c r="G61" i="8"/>
  <c r="H9" i="7"/>
  <c r="H14" i="7" s="1"/>
  <c r="H20" i="7" s="1"/>
  <c r="H62" i="8" s="1"/>
  <c r="H61" i="8"/>
  <c r="F43" i="6"/>
  <c r="F9" i="7" l="1"/>
  <c r="F14" i="7" s="1"/>
  <c r="F20" i="7" s="1"/>
  <c r="F61" i="8"/>
  <c r="F62" i="8" l="1"/>
  <c r="F41" i="7"/>
  <c r="F14" i="1" l="1"/>
  <c r="G41" i="7"/>
  <c r="H41" i="7" l="1"/>
  <c r="G14" i="1"/>
  <c r="H14" i="1" l="1"/>
  <c r="E42" i="7"/>
  <c r="E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4" authorId="0" shapeId="0" xr:uid="{00000000-0006-0000-0100-000001000000}">
      <text>
        <r>
          <rPr>
            <sz val="10"/>
            <color rgb="FF000000"/>
            <rFont val="Arial"/>
            <family val="2"/>
          </rPr>
          <t>Includes the scenario factor from sheet 08 Scenarios (net recovery per brand).</t>
        </r>
      </text>
    </comment>
  </commentList>
</comments>
</file>

<file path=xl/sharedStrings.xml><?xml version="1.0" encoding="utf-8"?>
<sst xmlns="http://schemas.openxmlformats.org/spreadsheetml/2006/main" count="630" uniqueCount="386">
  <si>
    <t>ValueBridge | Financial Summary &amp; Scenarios</t>
  </si>
  <si>
    <t>ValueBridge revenue consists of fees only; sales proceeds collected on behalf of brands are not recognised as revenue. Figures below update with the selections on 08 Scenarios.</t>
  </si>
  <si>
    <t>Active scenario</t>
  </si>
  <si>
    <t>Adjust on sheet 08 Scenarios</t>
  </si>
  <si>
    <t>Line item</t>
  </si>
  <si>
    <t>Unit</t>
  </si>
  <si>
    <t>Notes</t>
  </si>
  <si>
    <t>01  KEY RESULTS</t>
  </si>
  <si>
    <t>Net revenue</t>
  </si>
  <si>
    <t>USD</t>
  </si>
  <si>
    <t>EBITDA</t>
  </si>
  <si>
    <t>EBITDA margin</t>
  </si>
  <si>
    <t>%</t>
  </si>
  <si>
    <t>Cumulative FCF from 2027</t>
  </si>
  <si>
    <t>02  REVENUE MIX</t>
  </si>
  <si>
    <t>Gain-share success fee</t>
  </si>
  <si>
    <t>Program subscription fee</t>
  </si>
  <si>
    <t>Value-added services</t>
  </si>
  <si>
    <t>Buyer fees</t>
  </si>
  <si>
    <t>Subscription fee share of net revenue</t>
  </si>
  <si>
    <t>Ratio = program subscription fee / net revenue; does not represent all cash collected before sale.</t>
  </si>
  <si>
    <t>03  KEY DRIVERS</t>
  </si>
  <si>
    <t>Active brands at year-end</t>
  </si>
  <si>
    <t>brands</t>
  </si>
  <si>
    <t>Includes Vietnam brands, non-OnPoint brands and Thailand brands via CREA.</t>
  </si>
  <si>
    <t>Net recovery / brand-year</t>
  </si>
  <si>
    <t>Total net recovery processed (not revenue)</t>
  </si>
  <si>
    <t>Net revenue / net recovery</t>
  </si>
  <si>
    <t>04  TARGETS &amp; STATUS</t>
  </si>
  <si>
    <t>FY2030 net revenue ≥ USD 20 million</t>
  </si>
  <si>
    <t>status</t>
  </si>
  <si>
    <t>FY2030 net revenue ≥ USD 25 million (reference milestone)</t>
  </si>
  <si>
    <t>Positive 2030 EBITDA (on current cost base)</t>
  </si>
  <si>
    <t>Model checks</t>
  </si>
  <si>
    <t>Year cumulative FCF turns non-negative</t>
  </si>
  <si>
    <t>year</t>
  </si>
  <si>
    <t>Peak funding requirement (based on year-end balances)</t>
  </si>
  <si>
    <t>ValueBridge | Market, Brands &amp; Volume</t>
  </si>
  <si>
    <t>Gain-share model · Nominal USD · Fiscal year = calendar year · Volume is NET RECOVERY (after channel costs), not ValueBridge revenue</t>
  </si>
  <si>
    <t>01  SELLING PERIOD</t>
  </si>
  <si>
    <t>Selling months in the year</t>
  </si>
  <si>
    <t>months</t>
  </si>
  <si>
    <t>2027 has 6 revenue-generating months (assumed Jul–Dec); full 12-month operation from 2028.</t>
  </si>
  <si>
    <t>02  ACTIVE BRANDS AT YEAR-END BY GROUP</t>
  </si>
  <si>
    <t>Existing OnPoint customers (Vietnam + Thailand)</t>
  </si>
  <si>
    <t>Baseline of 400 brands at end-2026, growing 20% per year on average. Scope: Vietnam + Thailand.</t>
  </si>
  <si>
    <t>Prospective customers selected for rollout in Vietnam</t>
  </si>
  <si>
    <t>Target of 60 brands in year one, with the take-up rate increasing in later years</t>
  </si>
  <si>
    <t>Non-OnPoint brands and distributors in Vietnam</t>
  </si>
  <si>
    <t>Calculated as total working days in the year ÷ average days to close one brand × number of sales FTEs</t>
  </si>
  <si>
    <t>Thailand brands via CREA</t>
  </si>
  <si>
    <t>When acquired at end-2024, CREA held a portfolio of 84+ international brands (250 brands in total after the merger =&gt; CREA brands ≈ 34%)</t>
  </si>
  <si>
    <t>Total active brands at year-end</t>
  </si>
  <si>
    <t>Total brands expected to join from Vietnam, external partners and CREA.</t>
  </si>
  <si>
    <t>Brand-years used for net recovery</t>
  </si>
  <si>
    <t>brand-years</t>
  </si>
  <si>
    <t>2027 uses year-end brand count directly, not multiplied by 6/12. From 2028: average of opening/closing brands × selling months / 12.</t>
  </si>
  <si>
    <t>03  NET RECOVERY PER BRAND (most critical assumption to validate in P0)</t>
  </si>
  <si>
    <t>Share of large brands (Group A)</t>
  </si>
  <si>
    <t>Group A share per the active scenario on 08 Scenarios.</t>
  </si>
  <si>
    <t>Steady-state net recovery, Group A / brand-year</t>
  </si>
  <si>
    <t>Group A benchmark of USD 1.5 million/brand-year: assumes company revenue of VND 3,000 billion × 1.25% return rate ≈ VND 37.5 billion, roughly USD 1.5 million. This is a reference returns volume that must be checked at brand level and validated in P0; VNR500 does not confirm these two parameters.</t>
  </si>
  <si>
    <t>Steady-state net recovery, Group B / brand-year</t>
  </si>
  <si>
    <t>Group B benchmark of USD 160,000/brand-year: assumes revenue of VND 40 billion × 60% COGS ÷ 6 inventory turns = average inventory of VND 4 billion, about USD 160,000 at VND 25,000/USD. This is average inventory, not annual liquidation flow; SeABank data only supports the SME classification.</t>
  </si>
  <si>
    <t>Share of net recovery handed over by brands</t>
  </si>
  <si>
    <t>Reflects the share of inventory brands hand over (not all of it, as brands keep some inventory on their balance sheet)</t>
  </si>
  <si>
    <t>Share of net recovery that is still liquidatable</t>
  </si>
  <si>
    <t>Assumes only 70% of total inventory/returns value is eligible for resale</t>
  </si>
  <si>
    <t>Average net recovery / brand-year</t>
  </si>
  <si>
    <t>Group A/B weighted average × handover rate × liquidatable rate.</t>
  </si>
  <si>
    <t>04  CHANNEL MIX, UPLIFT OVER BASELINE AND CHANNEL COSTS</t>
  </si>
  <si>
    <t>B2B share of net recovery</t>
  </si>
  <si>
    <t>B2B mix taken from 08 Scenarios; each driver has its own scenario selection.</t>
  </si>
  <si>
    <t>B2B uplift over brand baseline (liquidation quote)</t>
  </si>
  <si>
    <t>B2B uplift per the active scenario on 08 Scenarios.</t>
  </si>
  <si>
    <t>B2C uplift over brand baseline</t>
  </si>
  <si>
    <t>B2C uplift per the active scenario on 08 Scenarios.</t>
  </si>
  <si>
    <t>B2C channel fees borne by brand / buyer-paid price</t>
  </si>
  <si>
    <t>10% of B2C sales after returns: marketplace fees (4–6.05% commission + 6% transaction fee per MISA eShop 2026, to be checked against Seller Center) plus part of shipping. Borne by the brand; ValueBridge advances and deducts at settlement; not ValueBridge revenue/cost.</t>
  </si>
  <si>
    <t>B2B logistics fees borne by brand / buyer-paid price</t>
  </si>
  <si>
    <t>ValueBridge advances payment to the logistics provider and recovers it from the brand by deduction at settlement. Calculated on the buyer price for B2B lots; not a buyer surcharge nor ValueBridge revenue/cost under the agency assumption.</t>
  </si>
  <si>
    <t>B2C returns / sales before returns</t>
  </si>
  <si>
    <t>Return rate taken from 08 Scenarios.</t>
  </si>
  <si>
    <t>ValueBridge | Gain-Share Fee Schedule</t>
  </si>
  <si>
    <t>All ValueBridge income is fees (agency model) and is recognised as net revenue. Gross transaction value, payments to brands and pass-through channel costs are NOT revenue.</t>
  </si>
  <si>
    <t>01  GAIN-SHARE SUCCESS FEE (both channels, on net recovery)</t>
  </si>
  <si>
    <t>Base fee on net recovery up to baseline</t>
  </si>
  <si>
    <t>Same rate for B2B and B2C (channel-neutral). Close to B-Stock's reference fee of about 7.5% (Forbes estimate, cited via Consumer Goodies).</t>
  </si>
  <si>
    <t>Share of net recovery above baseline</t>
  </si>
  <si>
    <t>ValueBridge earns extra only when recovery beats the brand's own disposal option.</t>
  </si>
  <si>
    <t>Cap on total success fee / net recovery</t>
  </si>
  <si>
    <t>Protective cap. The commitment that brand net proceeds ≥ baseline is tested on sheet 09 Checks.</t>
  </si>
  <si>
    <t>02  VALUEBRIDGE PROGRAM SUBSCRIPTION FEE</t>
  </si>
  <si>
    <t>Program fee per brand per month</t>
  </si>
  <si>
    <t>Inventory risk dashboard (Opollo data), monthly review, priority in joint livestreams, lot intake support and reporting on volume diverted from destruction.</t>
  </si>
  <si>
    <t>Share of active brands subscribing to the program</t>
  </si>
  <si>
    <t>Offered after a brand's second lot. 2027 uses a minimal manually-run version from H2; first dashboard version launches mid-2028.</t>
  </si>
  <si>
    <t>03  VALUE-ADDED SERVICES (separately agreed)</t>
  </si>
  <si>
    <t>Value-added services revenue / net recovery</t>
  </si>
  <si>
    <t>Repackaging/bundling, relabelling, dedicated campaigns and storage beyond 60 days. This line counts fee revenue; the model does not yet separate delivery costs.</t>
  </si>
  <si>
    <t>04  BUYER FEES (B2B)</t>
  </si>
  <si>
    <t>Verified member buyers (converted to billing periods)</t>
  </si>
  <si>
    <t>buyers</t>
  </si>
  <si>
    <t>Free pilot phase generates no revenue. The model assumes 10 paying buyers in H2 2027: 10 × USD 1,500/year × 6/12 = USD 7,500.</t>
  </si>
  <si>
    <t>Annual buyer membership fee</t>
  </si>
  <si>
    <t>Early access to graded lots with complete data packs.</t>
  </si>
  <si>
    <t>Buyer surcharge on B2B lot value sold</t>
  </si>
  <si>
    <t>Buyer surcharge 2% × (B2B baseline + B2B uplift). Not charged on the 5% B2B logistics fee borne by the brand, which ValueBridge advances and deducts at settlement. The 2% rate must be validated in the pilot.</t>
  </si>
  <si>
    <t>ValueBridge | Resources, Costs &amp; Collection Terms</t>
  </si>
  <si>
    <t>Fixed cost data carried over from the original model (03 Strategy), except items marked as new</t>
  </si>
  <si>
    <t>01  SALES CAPACITY &amp; COMMISSION — from original model</t>
  </si>
  <si>
    <t>Working days / full-year sales FTE (excl. public holidays)</t>
  </si>
  <si>
    <t>Days</t>
  </si>
  <si>
    <t>8 hours a day, 5 days a week for 12 months, excluding public holidays</t>
  </si>
  <si>
    <t>Sales days / brand successfully closed</t>
  </si>
  <si>
    <t>Non-OnPoint brands closed in Vietnam</t>
  </si>
  <si>
    <t>Brands</t>
  </si>
  <si>
    <t>Total commission / brands closed</t>
  </si>
  <si>
    <t>Brands closed = 237 working days/year ÷ 30 days/brand × sales FTEs; × USD 250/brand for total commission.</t>
  </si>
  <si>
    <t>01  FULL-TIME HEADCOUNT — from original model</t>
  </si>
  <si>
    <t>Staff and fixed costs are charged for a full 12 months, including 2027; 2027 revenue covers only 6 selling months per 01 Market.</t>
  </si>
  <si>
    <t>Additional inspection &amp; reconciliation staff (reverse logistics)</t>
  </si>
  <si>
    <t>FTEs</t>
  </si>
  <si>
    <t>Hired to inspect returns and reconcile. 2027: 4 for Vietnam brands; 2028: 8 for Vietnam and non-OnPoint SMEs; 2029: 10 in Vietnam and 6 covering Thailand; 2030: 12 in Vietnam and 8 covering Thailand.</t>
  </si>
  <si>
    <t>Sales staff closing non-OnPoint brands</t>
  </si>
  <si>
    <t>Non-OnPoint brand sales headcount taken from 08 Scenarios.</t>
  </si>
  <si>
    <t>B2B operations staff</t>
  </si>
  <si>
    <t>B2B headcount: about 5 brands per person in 2027–2030</t>
  </si>
  <si>
    <t>B2C operations &amp; livestream staff</t>
  </si>
  <si>
    <t>2027–2028: 4 rotating livestreamers, 2 page/KOL managers, 2 editors. 2029–2030: plus 2 livestreamers, 1 page/KOL manager and 1 editor for Thai content produced in Vietnam.</t>
  </si>
  <si>
    <t>Outsourced KOCs/hosts per Mega Sale event (4 hours each)</t>
  </si>
  <si>
    <t>people/event</t>
  </si>
  <si>
    <t>KOCs work per session, not salaried FTEs. Planned 2–3 per event in 2027–2030</t>
  </si>
  <si>
    <t>02  FULLY-LOADED COST PER FTE (USD/year) — from original model</t>
  </si>
  <si>
    <t>Annual staff cost assumes 13 months of salary.</t>
  </si>
  <si>
    <t>Inspection &amp; reconciliation staff (reverse logistics) / person</t>
  </si>
  <si>
    <t>USD 1,000/month × 13 months = USD 13,000/person-year; about VND 25 million/month, blended lead and staff level.</t>
  </si>
  <si>
    <t>Sales staff / person</t>
  </si>
  <si>
    <t>USD 770/month × 13 months = USD 10,010/person-year; about VND 20 million/month, blended lead and staff level.</t>
  </si>
  <si>
    <t>Sales commission / brand</t>
  </si>
  <si>
    <t>Fixed commission of USD 250 per brand signed; cost is based on brands closed, not on months or sales volume.</t>
  </si>
  <si>
    <t>B2B staff / person</t>
  </si>
  <si>
    <t>Average cost / B2C staff</t>
  </si>
  <si>
    <t>Fixed booking fee / KOC / 4-hour Mega Sale session</t>
  </si>
  <si>
    <t>USD/session</t>
  </si>
  <si>
    <t>Planning assumption: VND 1 million/hour × 4 hours × 1.25 peak factor = VND 5 million; ÷ VND 25,000/USD = USD 200/session. Nguoi Lao Dong reports KOCs at ~VND 1 million/hour and peak-season bookings of VND 3–10 million/session: https://nld.com.vn/dich-vu-livestream-ban-hang-tet-kin-lich-gia-thue-kol-tang-chong-mat-196260118121654386.htm. Cast fee only; affiliate commission excluded until attributed sales and the paying party are confirmed. TikTok: https://seller-vn.tiktok.com/university/essay?knowledge_id=775581994239745&amp;lang=en</t>
  </si>
  <si>
    <t>03  OTHER FIXED COSTS &amp; CAPEX</t>
  </si>
  <si>
    <t>Systems &amp; data / year</t>
  </si>
  <si>
    <t>Only the incremental Opollo enhancement and maintenance for ValueBridge: 0.6 developer FTE × USD 1,350 × 12 = USD 9,720; 0.2 QA FTE × USD 1,180 × 12 = USD 2,832; infrastructure USD 350 × 12 = USD 4,200. Total USD 16,752, rounded to USD 17,000/year. Salary reference: https://topdev.vn/download-report/</t>
  </si>
  <si>
    <t>Sales travel / person / year</t>
  </si>
  <si>
    <t>Round-trip taxi est. VND 250,000/day ≈ USD 10/day. A sales FTE works 237 days/year, so the unit cost is USD 2,370/person-year; team cost = this unit cost × sales FTEs on sheet 05.</t>
  </si>
  <si>
    <t>Legal &amp; compliance / year</t>
  </si>
  <si>
    <t>Ongoing legal counsel for the whole program: VND 15 million/month × 12 = VND 180 million/year, approx. USD 6,900/year at about VND 26,000/USD. (https://phonggialawfirm.com/dich-vu-luat-su-tu-van-doanh-nghiep/)</t>
  </si>
  <si>
    <t>Buyers &amp; partners / year</t>
  </si>
  <si>
    <t>Assumes 4 buyer networking sessions/year × 4 hours/session × VND 2.5 million/hour ≈ USD 1,545/year, plus USD 3 per verified buyer. Event cost is a single annual amount, not multiplied by brand count. References: https://circo.co/services and https://thekyb.com/pricing/</t>
  </si>
  <si>
    <t>Capital expenditure in the year</t>
  </si>
  <si>
    <t>Capex driven by headcount additions: laptops USD 600 each (~VND 15 million), desk phones USD 15 each (~VND 0.4 million) for new sales staff; a USD 1,000 camera bought once in 2027. Total capex = the three lines below.</t>
  </si>
  <si>
    <t>Laptop</t>
  </si>
  <si>
    <t>Telephone</t>
  </si>
  <si>
    <t>Camera</t>
  </si>
  <si>
    <t>Camera purchased in the first year only (2027).</t>
  </si>
  <si>
    <t>Depreciation period</t>
  </si>
  <si>
    <t>3-year straight-line depreciation for laptops, phones and the camera.</t>
  </si>
  <si>
    <t>Corporate income tax rate</t>
  </si>
  <si>
    <t>Tax rate kept from the original model. Provisional tax formula and loss carry-forward are on 05 P&amp;L row 42.</t>
  </si>
  <si>
    <t>05  COLLECTION TERMS</t>
  </si>
  <si>
    <t>B2B fee collection days</t>
  </si>
  <si>
    <t>days</t>
  </si>
  <si>
    <t>Fees are deducted at settlement after the buyer pays; uses the B2B receivable days from the original model.</t>
  </si>
  <si>
    <t>B2C fee collection days</t>
  </si>
  <si>
    <t>Platform payout period (per original model).</t>
  </si>
  <si>
    <t>Subscription &amp; value-added services collection days</t>
  </si>
  <si>
    <t>Invoiced monthly.</t>
  </si>
  <si>
    <t>Days from collection to remittance to brands</t>
  </si>
  <si>
    <t>Settlement and remittance cycle to brands after the buyer/marketplace pays. Assumed 15 days; to be fixed in the mandate. Used only for the memo line on sheet 06; does not affect FCF.</t>
  </si>
  <si>
    <t>06  B2C RETURNS HANDLING COSTS (borne by ValueBridge; goods value borne by brands)</t>
  </si>
  <si>
    <t>Average B2C order value (AOV)</t>
  </si>
  <si>
    <t>Assumes about VND 300,000/order (clearance bundles) ÷ VND 25,000/USD. Used to convert returns value into number of returned orders. To be validated in the pilot.</t>
  </si>
  <si>
    <t>Return shipping / returned order</t>
  </si>
  <si>
    <t>Assumes about VND 25,000/order for return shipping charged by the marketplace/carrier. Paid by ValueBridge, not recovered from brands. To be checked against marketplace/carrier rate cards.</t>
  </si>
  <si>
    <t>Receiving, inspection, repackaging &amp; return-to-brand cost / returned order</t>
  </si>
  <si>
    <t>Assumes about VND 10,000/order (inspection labour, packing materials, consolidated return to brand). Borne by ValueBridge.</t>
  </si>
  <si>
    <t>ValueBridge | Volume &amp; Settlement Waterfall</t>
  </si>
  <si>
    <t>Brand-years → net recovery → baseline and uplift → buyer payments → remittance to brands. Row 31 is the ValueBridge success fee; goods proceeds and channel fees are not ValueBridge revenue.</t>
  </si>
  <si>
    <t>01  NET RECOVERY</t>
  </si>
  <si>
    <t>Brand-years</t>
  </si>
  <si>
    <t>Net recovery (after channel costs)</t>
  </si>
  <si>
    <t>B2B net recovery</t>
  </si>
  <si>
    <t>B2C net recovery</t>
  </si>
  <si>
    <t>02  BASELINE AND UPLIFT</t>
  </si>
  <si>
    <t>B2B baseline (brand's own disposal option)</t>
  </si>
  <si>
    <t>B2B uplift above baseline</t>
  </si>
  <si>
    <t>B2C baseline</t>
  </si>
  <si>
    <t>B2C uplift above baseline</t>
  </si>
  <si>
    <t>03  BUYER SALES AND BRAND SETTLEMENT</t>
  </si>
  <si>
    <t>Required B2B lot price paid by buyers (excl. 2% buyer fee)</t>
  </si>
  <si>
    <t>Required buyer price is back-solved from the B2B net recovery target. Logistics fees are not charged separately to buyers; they are deducted from the brand's sales proceeds. This is not an independent forecast of winning lot prices.</t>
  </si>
  <si>
    <t>Required B2C buyer sales after returns</t>
  </si>
  <si>
    <t>Required buyer sales are back-solved from the B2C net recovery target. Channel fees are borne by the brand and deducted at settlement; this is not an independent selling-price forecast.</t>
  </si>
  <si>
    <t>B2C sales before returns</t>
  </si>
  <si>
    <t>Value of returned B2C lots</t>
  </si>
  <si>
    <t>B2C sales before returns minus sales after returns. Returned goods come back and are handed back to the brand (row 33); buyer refunds are already netted in sales after returns.</t>
  </si>
  <si>
    <t>Total channel/logistics fees borne by brands, advanced by ValueBridge</t>
  </si>
  <si>
    <t>ValueBridge advances channel/logistics fees and recovers them from brands at settlement. The outflows and recoveries sit on 06 Cash Flow; these items are excluded from the ValueBridge P&amp;L under the agency assumption.</t>
  </si>
  <si>
    <t>of which: B2B logistics fees borne by brands</t>
  </si>
  <si>
    <t>5% × buyer price for B2B lots; ValueBridge advances and recovers by deduction at settlement.</t>
  </si>
  <si>
    <t>of which: B2C channel fees borne by brands</t>
  </si>
  <si>
    <t>3% × B2C buyer sales after returns; ValueBridge advances and recovers by deduction at settlement.</t>
  </si>
  <si>
    <t>Recovery after returns and channel/logistics fees</t>
  </si>
  <si>
    <t>B2B sales + B2C sales before returns − returned lot value − channel/logistics fees; ties to the net recovery target in row 12.</t>
  </si>
  <si>
    <t>ValueBridge success fee deducted at settlement</t>
  </si>
  <si>
    <t>Success fee from the P&amp;L; this is ValueBridge revenue, distinct from the two third-party fees.</t>
  </si>
  <si>
    <t>Cash paid to brands from successfully sold lots</t>
  </si>
  <si>
    <t>Payments to brands from successfully sold lots, after channel fees and the ValueBridge success fee. Returned B2C lot value is tracked separately in row 26.</t>
  </si>
  <si>
    <t>B2C returns handed back to brands (in goods, not cash)</t>
  </si>
  <si>
    <t>Returned B2C lot value in row 26 is handed back to brands as goods; not a ValueBridge cash outflow.</t>
  </si>
  <si>
    <t>Total value returned to brands (cash + returned goods)</t>
  </si>
  <si>
    <t>Row 32 (cash) plus row 33 (returned goods).</t>
  </si>
  <si>
    <t>04  MEGA SALE LIVESTREAM — OUTSOURCED KOCs</t>
  </si>
  <si>
    <t>Mega Sale events per year</t>
  </si>
  <si>
    <t>events</t>
  </si>
  <si>
    <t>Planned calendar of 14 sessions in 2027 and 25 sessions per year in 2028–2030, based on double-date sales, pay days and selected seasonal occasions. Overlapping dates are not counted as separate sessions.</t>
  </si>
  <si>
    <t>KOCs/hosts hired per event</t>
  </si>
  <si>
    <t>Linked to 03 Strategy row 20; session-based contributors, not included in B2C staff payroll.</t>
  </si>
  <si>
    <t>Cast fee per KOC per 4-hour session</t>
  </si>
  <si>
    <t>Linked to 03 Strategy row 27; VND 5 million ≈ USD 200 at the planning rate of VND 25,000/USD. https://nld.com.vn/dich-vu-livestream-ban-hang-tet-kin-lich-gia-thue-kol-tang-chong-mat-196260118121654386.htm</t>
  </si>
  <si>
    <t>Total Mega Sale KOC booking cost / year</t>
  </si>
  <si>
    <t>Events × KOCs per event × cast fee/session. No affiliate commission in the base case until creator-attributed sales exist.</t>
  </si>
  <si>
    <t>05  B2C RETURNS HANDLING COSTS (borne by ValueBridge)</t>
  </si>
  <si>
    <t>Returned goods value is borne by brands (handed back as goods, row 33). ValueBridge bears only return shipping and handling costs.</t>
  </si>
  <si>
    <t>Returned B2C orders</t>
  </si>
  <si>
    <t>orders</t>
  </si>
  <si>
    <t>Returned B2C lot value (row 26) ÷ AOV on 03 Strategy row 44.</t>
  </si>
  <si>
    <t>Handling cost / returned order</t>
  </si>
  <si>
    <t>USD/order</t>
  </si>
  <si>
    <t>Return shipping + receiving, inspection, packing and return to brand (03 Strategy rows 45–46).</t>
  </si>
  <si>
    <t>Total returns handling cost (borne by ValueBridge)</t>
  </si>
  <si>
    <t>Flows into 05 P&amp;L row 24 as a direct cost.</t>
  </si>
  <si>
    <t>ValueBridge | Profit &amp; Loss</t>
  </si>
  <si>
    <t>Revenue includes fees only. Payments to brands and pass-through channel costs are not recognised.</t>
  </si>
  <si>
    <t>01  NET REVENUE</t>
  </si>
  <si>
    <t>B2B success fee (before cap)</t>
  </si>
  <si>
    <t>B2C success fee (before cap)</t>
  </si>
  <si>
    <t>Adjustment for fees above cap</t>
  </si>
  <si>
    <t>1. Gain-share success fee</t>
  </si>
  <si>
    <t>2. Program subscription fee</t>
  </si>
  <si>
    <t>Average brands × subscription rate × monthly fee × selling months.</t>
  </si>
  <si>
    <t>3. Value-added services</t>
  </si>
  <si>
    <t>Service revenue equals 2.5% of net recovery. The model does not yet separate direct delivery costs for these services.</t>
  </si>
  <si>
    <t>Buyer membership fees</t>
  </si>
  <si>
    <t>Buyer surcharge on B2B lot value</t>
  </si>
  <si>
    <t>B2B lot value sold = B2B baseline + B2B uplift on 04 Operations. The 2% fee applies to this value, not to the 5% logistics fee.</t>
  </si>
  <si>
    <t>4. Buyer fees</t>
  </si>
  <si>
    <t>TOTAL NET REVENUE</t>
  </si>
  <si>
    <t>Success fee / net recovery</t>
  </si>
  <si>
    <t>03  DIRECT COSTS BORNE BY VALUEBRIDGE</t>
  </si>
  <si>
    <t>B2C returns handling cost</t>
  </si>
  <si>
    <t>Return shipping and returns handling paid by ValueBridge, not recovered from brands. Returned goods value is borne by brands and therefore not recorded in the P&amp;L.</t>
  </si>
  <si>
    <t>Profit after direct costs</t>
  </si>
  <si>
    <t>Net revenue less direct costs.</t>
  </si>
  <si>
    <t>04  FIXED COSTS</t>
  </si>
  <si>
    <t>Inspection &amp; reconciliation staff</t>
  </si>
  <si>
    <t>Sales staff</t>
  </si>
  <si>
    <t>Systems &amp; data</t>
  </si>
  <si>
    <t>Sales travel</t>
  </si>
  <si>
    <t>Sales FTEs × round-trip taxi cost/person-year from 03 Strategy; headcount is not multiplied on both sheets.</t>
  </si>
  <si>
    <t>Legal &amp; compliance</t>
  </si>
  <si>
    <t>Buyers &amp; partners</t>
  </si>
  <si>
    <t>Sales commission on brands closed</t>
  </si>
  <si>
    <t>Fixed commission of USD 250 per brand closed, from 03 Strategy row 13. Not based on liquidation sales.</t>
  </si>
  <si>
    <t>Mega Sale KOC booking fees</t>
  </si>
  <si>
    <t>Fixed per-session cost: Mega Sale events × KOCs/event × USD 200/session. KOCs are outsourced; not double-counted in B2C staff. Affiliate commission is excluded from the base case as there are no creator-attributed sales yet.</t>
  </si>
  <si>
    <t>Total fixed costs</t>
  </si>
  <si>
    <t>Profit after direct costs (row 25) less total fixed costs (row 37).</t>
  </si>
  <si>
    <t>EBITDA margin (excl. VAS direct costs)</t>
  </si>
  <si>
    <t>05  DEPRECIATION, TAX &amp; PROFIT</t>
  </si>
  <si>
    <t>Depreciation</t>
  </si>
  <si>
    <t>Operating profit (EBIT)</t>
  </si>
  <si>
    <t>Profit before tax</t>
  </si>
  <si>
    <t>Provisional corporate income tax</t>
  </si>
  <si>
    <t>NET PROFIT AFTER TAX</t>
  </si>
  <si>
    <t>ValueBridge | Projected Operating &amp; Investing Cash Flow</t>
  </si>
  <si>
    <t>USD · 2027–2030 · indirect method</t>
  </si>
  <si>
    <t>Based on currently available data; excludes financing cash flows and cash balances. Cash collected on behalf of and remitted to brands is pass-through and excluded from FCF.</t>
  </si>
  <si>
    <t>01  CASH FLOW FROM OPERATING ACTIVITIES</t>
  </si>
  <si>
    <t>Net profit after tax (per model)</t>
  </si>
  <si>
    <t>Add back depreciation</t>
  </si>
  <si>
    <t>(Increase) / decrease in service fee receivables</t>
  </si>
  <si>
    <t>(Increase) / decrease in brand fee reimbursement receivables</t>
  </si>
  <si>
    <t>Net cash flow from operating activities</t>
  </si>
  <si>
    <t>02  CASH FLOW FROM INVESTING ACTIVITIES</t>
  </si>
  <si>
    <t>Purchase of fixed assets</t>
  </si>
  <si>
    <t>Net cash flow from investing activities</t>
  </si>
  <si>
    <t>Cash flow after operating &amp; investing (model FCF)</t>
  </si>
  <si>
    <t>Check: brand advances tie to change in receivables</t>
  </si>
  <si>
    <t>03  RECEIVABLES &amp; WORKING CAPITAL</t>
  </si>
  <si>
    <t>Service fee receivables, year-end</t>
  </si>
  <si>
    <t>Change in service fee receivables</t>
  </si>
  <si>
    <t>Brand fee reimbursement receivables, year-end</t>
  </si>
  <si>
    <t>Change in brand fee reimbursement receivables</t>
  </si>
  <si>
    <t>04  ADVANCES ON BEHALF OF BRANDS</t>
  </si>
  <si>
    <t>B2B logistics fees advanced</t>
  </si>
  <si>
    <t>B2C channel fees advanced</t>
  </si>
  <si>
    <t>Cash recovered from brands</t>
  </si>
  <si>
    <t>Net cash flow from brand advances</t>
  </si>
  <si>
    <t>05  B2C RETURNS (memo, not a cash flow)</t>
  </si>
  <si>
    <t>B2C returned goods handed back to brands (in goods)</t>
  </si>
  <si>
    <t>Returned goods come back and are handed to brands; no ValueBridge cash flow arises. Buyer refunds are already netted in sales after returns.</t>
  </si>
  <si>
    <t>06  CAPEX &amp; FCF</t>
  </si>
  <si>
    <t>Capital expenditure (CAPEX)</t>
  </si>
  <si>
    <t>Peak funding requirement at year-end</t>
  </si>
  <si>
    <t>Payback year</t>
  </si>
  <si>
    <t>07  MEMO: CASH COLLECTED ON BEHALF OF BRANDS (outside FCF)</t>
  </si>
  <si>
    <t>Collected cash not yet remitted to brands, year-end</t>
  </si>
  <si>
    <t>Sales proceeds collected from buyers/marketplaces but not yet due for remittance to brands (= payments to brands × settlement days ÷ selling days). This is brands' money (a payable) and is not used to fund the business.</t>
  </si>
  <si>
    <t>Change in collected cash during the year</t>
  </si>
  <si>
    <t>Raises the year-end cash balance but is NOT added to FCF or the funding requirement in rows 21 and 44–46.</t>
  </si>
  <si>
    <t>ValueBridge | Independent Scenarios by Driver</t>
  </si>
  <si>
    <t>Select a level for each driver in column J. Brand drivers are grouped together, followed by sales headcount, B2B and B2C.</t>
  </si>
  <si>
    <t>Eight scenario drivers; Vietnam customers are modelled as a % rate, Thailand brands as counts from the CREA plan.</t>
  </si>
  <si>
    <t>Select level</t>
  </si>
  <si>
    <t>01  VIETNAM BRANDS</t>
  </si>
  <si>
    <t>Base</t>
  </si>
  <si>
    <t>Conservative</t>
  </si>
  <si>
    <t>Optimistic</t>
  </si>
  <si>
    <t>02  THAILAND BRANDS</t>
  </si>
  <si>
    <t>Thailand brands</t>
  </si>
  <si>
    <t>03  BRAND MIX</t>
  </si>
  <si>
    <t>04  NON-ONPOINT BRAND SALES</t>
  </si>
  <si>
    <t>FTE</t>
  </si>
  <si>
    <t>05  B2B CHANNEL MIX</t>
  </si>
  <si>
    <t>06  B2B UPLIFT OVER BASELINE</t>
  </si>
  <si>
    <t>B2B uplift over brand baseline</t>
  </si>
  <si>
    <t>07  B2C UPLIFT OVER BASELINE</t>
  </si>
  <si>
    <t>08  B2C RETURN RATE</t>
  </si>
  <si>
    <t>09  RESULTS UNDER ACTIVE SCENARIO</t>
  </si>
  <si>
    <t>Net recovery</t>
  </si>
  <si>
    <t>EBITDA (excl. VAS direct costs)</t>
  </si>
  <si>
    <t>Net profit after tax</t>
  </si>
  <si>
    <t>Cash flow after operating &amp; investing (FCF)</t>
  </si>
  <si>
    <t>Conservative/Optimistic assumptions for Thailand brands, external sales, B2B mix and B2C returns can be edited on each scenario row. The handover rate stays as in the base model.</t>
  </si>
  <si>
    <t>ValueBridge | Model Checks</t>
  </si>
  <si>
    <t>"PASS" cells confirm reconciliations within the model; they do not validate input data or the EBITDA margin warning in row 24.</t>
  </si>
  <si>
    <t>Definition / source / notes</t>
  </si>
  <si>
    <t>01  BRAND PROTECTION &amp; FEE CAP</t>
  </si>
  <si>
    <t>B2B: brand proceeds ≥ baseline (difference, USD)</t>
  </si>
  <si>
    <t>Must be ≥ 0: after ValueBridge fees, the brand still receives at least its own disposal option.</t>
  </si>
  <si>
    <t>B2C: brand proceeds ≥ baseline (difference, USD)</t>
  </si>
  <si>
    <t>Success fee / net recovery ≤ cap</t>
  </si>
  <si>
    <t>02  CONSISTENCY</t>
  </si>
  <si>
    <t>Revenue equals sum of four revenue lines (difference)</t>
  </si>
  <si>
    <t>Net recovery equals B2B + B2C (difference)</t>
  </si>
  <si>
    <t>B2B share between 0% and 100%</t>
  </si>
  <si>
    <t>03  REASONABLENESS WARNINGS</t>
  </si>
  <si>
    <t>Active brands ÷ projected OnPoint portfolio</t>
  </si>
  <si>
    <t>x</t>
  </si>
  <si>
    <t>Denominator is the projected OnPoint brand count for each year on 01 Market row 14. Numerator includes external and Thailand brands; a ratio above 100% can occur when expanding beyond the OnPoint portfolio.</t>
  </si>
  <si>
    <t>EBITDA margin reasonableness check</t>
  </si>
  <si>
    <t>04  SUMMARY</t>
  </si>
  <si>
    <t>Overall status</t>
  </si>
  <si>
    <t>05  RECONCILIATION OF BRAND-BORNE FEES &amp; ADVANCES</t>
  </si>
  <si>
    <t>Total fees advanced = B2B fees + B2C fees (difference)</t>
  </si>
  <si>
    <t>Recovery after fees ties to net target (difference)</t>
  </si>
  <si>
    <t>Payments to brands tie after success fee (difference)</t>
  </si>
  <si>
    <t>Advance cash flows tie to change in receivables (difference)</t>
  </si>
  <si>
    <t>Advanced and reimbursed fees are pass-through cash flows; a receivable from brands remains at year-end equal to the unsettled balance.</t>
  </si>
  <si>
    <t>Brand-borne fee reconciliation status</t>
  </si>
  <si>
    <t>06  B2C RETURNS</t>
  </si>
  <si>
    <t>B2C sales before returns − returns = after returns</t>
  </si>
  <si>
    <t>B2C returns reconciliation status</t>
  </si>
  <si>
    <t>Returns handed back to brands equal returned B2C lot value (difference)</t>
  </si>
  <si>
    <t>07  MEGA SALE KOC BOOKING</t>
  </si>
  <si>
    <t>Checks the fixed per-session booking cost; does not infer affiliate commission from total B2C.</t>
  </si>
  <si>
    <t>Calendar × KOCs × cast fee ties to operating cost</t>
  </si>
  <si>
    <t>03 Strategy × number of events = 04 Operations row 40.</t>
  </si>
  <si>
    <t>P&amp;L booking cost ties to operating schedule</t>
  </si>
  <si>
    <t>P&amp;L expense must equal the negative of the operating booking cost.</t>
  </si>
  <si>
    <t>KOC booking reconciliation status</t>
  </si>
  <si>
    <t>PASS when both differences are zero.</t>
  </si>
  <si>
    <t>08  RETURNS HANDLING COSTS</t>
  </si>
  <si>
    <t>P&amp;L returns cost ties to operations (difference)</t>
  </si>
  <si>
    <t>P&amp;L expense must equal the negative of total returns handling cost on 04 Operations row 45.</t>
  </si>
  <si>
    <t>Returns cost reconciliation status</t>
  </si>
  <si>
    <t>Intake fee per lot (credited against success fee)</t>
  </si>
  <si>
    <t>Memo only: credited when the lot sells, so it is not additional revenue in the base case. Waived for Programme members.</t>
  </si>
  <si>
    <t>Booking/cast fee, excluding affiliate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</si>
</sst>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;&quot;($&quot;#,##0\);\-"/>
    <numFmt numFmtId="165" formatCode="0.0%;\(0.0%\);\-"/>
    <numFmt numFmtId="166" formatCode="#,##0;\(#,##0\);\-"/>
    <numFmt numFmtId="167" formatCode="#,##0.0;\(#,##0.0\);\-"/>
    <numFmt numFmtId="168" formatCode="_(* #,##0_);_(* \(#,##0\);_(* \-??_);_(@_)"/>
    <numFmt numFmtId="169" formatCode="_(* #,##0.00_);_(* \(#,##0.00\);_(* \-??_);_(@_)"/>
    <numFmt numFmtId="170" formatCode="\$#,##0;&quot;($&quot;#,##0\);\–"/>
    <numFmt numFmtId="171" formatCode="0.0%"/>
    <numFmt numFmtId="172" formatCode="0.00\x"/>
  </numFmts>
  <fonts count="29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5"/>
      <color rgb="FFFFFFFF"/>
      <name val="Arial"/>
      <family val="2"/>
    </font>
    <font>
      <b/>
      <sz val="11"/>
      <color rgb="FFFFFFFF"/>
      <name val="Aptos"/>
      <family val="2"/>
      <charset val="1"/>
    </font>
    <font>
      <i/>
      <sz val="9"/>
      <color rgb="FF6B7785"/>
      <name val="Arial"/>
      <family val="2"/>
    </font>
    <font>
      <i/>
      <sz val="10"/>
      <color rgb="FF57708B"/>
      <name val="Aptos"/>
      <family val="2"/>
      <charset val="1"/>
    </font>
    <font>
      <b/>
      <sz val="10"/>
      <color rgb="FF1F2937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1F3A5F"/>
      <name val="Arial"/>
      <family val="2"/>
    </font>
    <font>
      <sz val="9"/>
      <color rgb="FF6B7785"/>
      <name val="Arial"/>
      <family val="2"/>
    </font>
    <font>
      <b/>
      <sz val="10"/>
      <color rgb="FF008000"/>
      <name val="Arial"/>
      <family val="2"/>
    </font>
    <font>
      <sz val="9"/>
      <color rgb="FF4B5563"/>
      <name val="Arial"/>
      <family val="2"/>
    </font>
    <font>
      <sz val="10"/>
      <color rgb="FF1F2937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name val="Arial"/>
      <family val="2"/>
      <charset val="1"/>
    </font>
    <font>
      <sz val="9"/>
      <color rgb="FF6B7785"/>
      <name val="Arial"/>
      <family val="2"/>
      <charset val="1"/>
    </font>
    <font>
      <i/>
      <sz val="9"/>
      <color rgb="FF4B5563"/>
      <name val="Arial"/>
      <family val="2"/>
    </font>
    <font>
      <sz val="10"/>
      <color rgb="FF263747"/>
      <name val="Aptos"/>
      <family val="2"/>
      <charset val="1"/>
    </font>
    <font>
      <sz val="10"/>
      <color rgb="FF162B42"/>
      <name val="Aptos"/>
      <family val="2"/>
      <charset val="1"/>
    </font>
    <font>
      <b/>
      <sz val="14"/>
      <color rgb="FF162B42"/>
      <name val="Aptos"/>
      <family val="2"/>
      <charset val="1"/>
    </font>
    <font>
      <i/>
      <sz val="9"/>
      <color rgb="FF6B7785"/>
      <name val="Aptos"/>
      <family val="2"/>
      <charset val="1"/>
    </font>
    <font>
      <b/>
      <sz val="10"/>
      <color rgb="FF0000FF"/>
      <name val="Arial"/>
      <family val="2"/>
    </font>
    <font>
      <b/>
      <sz val="9"/>
      <color rgb="FF6B7785"/>
      <name val="Arial"/>
      <family val="2"/>
    </font>
    <font>
      <i/>
      <sz val="10"/>
      <color rgb="FF1F2937"/>
      <name val="Arial"/>
      <family val="2"/>
    </font>
    <font>
      <i/>
      <sz val="10"/>
      <color rgb="FF0000FF"/>
      <name val="Arial"/>
      <family val="2"/>
    </font>
    <font>
      <i/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263747"/>
      </patternFill>
    </fill>
    <fill>
      <patternFill patternType="solid">
        <fgColor rgb="FFE3EAF3"/>
        <bgColor rgb="FFE1E6EC"/>
      </patternFill>
    </fill>
    <fill>
      <patternFill patternType="solid">
        <fgColor rgb="FFFFF2CC"/>
        <bgColor rgb="FFFDECEA"/>
      </patternFill>
    </fill>
    <fill>
      <patternFill patternType="solid">
        <fgColor rgb="FFEEF3F8"/>
        <bgColor rgb="FFE6F4E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8C4D3"/>
      </bottom>
      <diagonal/>
    </border>
    <border>
      <left/>
      <right/>
      <top/>
      <bottom style="thin">
        <color rgb="FFE1E6EC"/>
      </bottom>
      <diagonal/>
    </border>
    <border>
      <left/>
      <right/>
      <top style="thin">
        <color rgb="FF8C99A8"/>
      </top>
      <bottom style="thin">
        <color rgb="FFE1E6EC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2" borderId="0" xfId="0" applyFont="1" applyFill="1" applyAlignment="1">
      <alignment vertical="center" indent="1"/>
    </xf>
    <xf numFmtId="0" fontId="0" fillId="2" borderId="0" xfId="0" applyFill="1"/>
    <xf numFmtId="0" fontId="3" fillId="2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8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5" borderId="2" xfId="0" applyFont="1" applyFill="1" applyBorder="1" applyAlignment="1">
      <alignment vertical="center" wrapText="1" indent="1"/>
    </xf>
    <xf numFmtId="0" fontId="10" fillId="5" borderId="2" xfId="0" applyFont="1" applyFill="1" applyBorder="1" applyAlignment="1">
      <alignment horizontal="center" vertical="center" wrapText="1"/>
    </xf>
    <xf numFmtId="164" fontId="11" fillId="5" borderId="3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 wrapText="1" indent="1"/>
    </xf>
    <xf numFmtId="0" fontId="10" fillId="0" borderId="2" xfId="0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vertical="center" wrapText="1"/>
    </xf>
    <xf numFmtId="164" fontId="14" fillId="0" borderId="2" xfId="0" applyNumberFormat="1" applyFont="1" applyBorder="1" applyAlignment="1">
      <alignment horizontal="right" vertical="center"/>
    </xf>
    <xf numFmtId="165" fontId="15" fillId="0" borderId="2" xfId="0" applyNumberFormat="1" applyFont="1" applyBorder="1" applyAlignment="1">
      <alignment horizontal="right" vertical="center"/>
    </xf>
    <xf numFmtId="166" fontId="14" fillId="0" borderId="2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49" fontId="15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right" vertical="center"/>
    </xf>
    <xf numFmtId="166" fontId="16" fillId="4" borderId="2" xfId="0" applyNumberFormat="1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right" vertical="center"/>
    </xf>
    <xf numFmtId="166" fontId="7" fillId="5" borderId="3" xfId="0" applyNumberFormat="1" applyFont="1" applyFill="1" applyBorder="1" applyAlignment="1">
      <alignment horizontal="right" vertical="center"/>
    </xf>
    <xf numFmtId="167" fontId="15" fillId="0" borderId="2" xfId="0" applyNumberFormat="1" applyFont="1" applyBorder="1" applyAlignment="1">
      <alignment horizontal="right" vertical="center"/>
    </xf>
    <xf numFmtId="165" fontId="14" fillId="4" borderId="2" xfId="0" applyNumberFormat="1" applyFont="1" applyFill="1" applyBorder="1" applyAlignment="1">
      <alignment horizontal="right" vertical="center"/>
    </xf>
    <xf numFmtId="164" fontId="16" fillId="4" borderId="2" xfId="0" applyNumberFormat="1" applyFont="1" applyFill="1" applyBorder="1" applyAlignment="1">
      <alignment horizontal="right" vertical="center"/>
    </xf>
    <xf numFmtId="165" fontId="16" fillId="4" borderId="2" xfId="0" applyNumberFormat="1" applyFont="1" applyFill="1" applyBorder="1" applyAlignment="1">
      <alignment horizontal="right" vertical="center"/>
    </xf>
    <xf numFmtId="164" fontId="7" fillId="5" borderId="3" xfId="0" applyNumberFormat="1" applyFont="1" applyFill="1" applyBorder="1" applyAlignment="1">
      <alignment horizontal="right" vertical="center"/>
    </xf>
    <xf numFmtId="9" fontId="17" fillId="0" borderId="0" xfId="0" applyNumberFormat="1" applyFont="1"/>
    <xf numFmtId="0" fontId="18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6" fillId="0" borderId="2" xfId="0" applyFont="1" applyBorder="1" applyAlignment="1">
      <alignment horizontal="right" vertical="center"/>
    </xf>
    <xf numFmtId="168" fontId="15" fillId="0" borderId="2" xfId="0" applyNumberFormat="1" applyFont="1" applyBorder="1" applyAlignment="1">
      <alignment horizontal="right" vertical="center"/>
    </xf>
    <xf numFmtId="0" fontId="19" fillId="3" borderId="1" xfId="0" applyFont="1" applyFill="1" applyBorder="1" applyAlignment="1">
      <alignment vertical="center" wrapText="1"/>
    </xf>
    <xf numFmtId="167" fontId="16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167" fontId="14" fillId="4" borderId="2" xfId="0" applyNumberFormat="1" applyFont="1" applyFill="1" applyBorder="1" applyAlignment="1">
      <alignment horizontal="right" vertical="center"/>
    </xf>
    <xf numFmtId="164" fontId="15" fillId="4" borderId="2" xfId="0" applyNumberFormat="1" applyFont="1" applyFill="1" applyBorder="1" applyAlignment="1">
      <alignment horizontal="right" vertical="center"/>
    </xf>
    <xf numFmtId="164" fontId="14" fillId="4" borderId="2" xfId="0" applyNumberFormat="1" applyFont="1" applyFill="1" applyBorder="1" applyAlignment="1">
      <alignment horizontal="right" vertical="center"/>
    </xf>
    <xf numFmtId="167" fontId="14" fillId="0" borderId="2" xfId="0" applyNumberFormat="1" applyFont="1" applyBorder="1" applyAlignment="1">
      <alignment horizontal="right" vertical="center"/>
    </xf>
    <xf numFmtId="164" fontId="15" fillId="0" borderId="2" xfId="0" applyNumberFormat="1" applyFont="1" applyBorder="1" applyAlignment="1">
      <alignment horizontal="right" vertical="center"/>
    </xf>
    <xf numFmtId="169" fontId="17" fillId="0" borderId="0" xfId="0" applyNumberFormat="1" applyFont="1"/>
    <xf numFmtId="167" fontId="16" fillId="0" borderId="2" xfId="0" applyNumberFormat="1" applyFont="1" applyBorder="1" applyAlignment="1">
      <alignment horizontal="right" vertical="center"/>
    </xf>
    <xf numFmtId="3" fontId="14" fillId="0" borderId="2" xfId="0" applyNumberFormat="1" applyFont="1" applyBorder="1" applyAlignment="1">
      <alignment horizontal="right" vertical="center"/>
    </xf>
    <xf numFmtId="0" fontId="20" fillId="0" borderId="0" xfId="0" applyFont="1"/>
    <xf numFmtId="170" fontId="20" fillId="0" borderId="0" xfId="0" applyNumberFormat="1" applyFont="1"/>
    <xf numFmtId="0" fontId="21" fillId="0" borderId="0" xfId="0" applyFont="1"/>
    <xf numFmtId="170" fontId="21" fillId="0" borderId="0" xfId="0" applyNumberFormat="1" applyFont="1"/>
    <xf numFmtId="170" fontId="9" fillId="3" borderId="1" xfId="0" applyNumberFormat="1" applyFont="1" applyFill="1" applyBorder="1" applyAlignment="1">
      <alignment vertical="center"/>
    </xf>
    <xf numFmtId="1" fontId="15" fillId="0" borderId="2" xfId="0" applyNumberFormat="1" applyFont="1" applyBorder="1" applyAlignment="1">
      <alignment horizontal="right" vertical="center"/>
    </xf>
    <xf numFmtId="0" fontId="22" fillId="2" borderId="0" xfId="0" applyFont="1" applyFill="1"/>
    <xf numFmtId="0" fontId="23" fillId="0" borderId="0" xfId="0" applyFont="1"/>
    <xf numFmtId="171" fontId="7" fillId="5" borderId="3" xfId="0" applyNumberFormat="1" applyFont="1" applyFill="1" applyBorder="1" applyAlignment="1">
      <alignment horizontal="right" vertical="center"/>
    </xf>
    <xf numFmtId="0" fontId="24" fillId="4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 indent="2"/>
    </xf>
    <xf numFmtId="171" fontId="15" fillId="0" borderId="2" xfId="0" applyNumberFormat="1" applyFont="1" applyBorder="1" applyAlignment="1">
      <alignment horizontal="right" vertical="center"/>
    </xf>
    <xf numFmtId="171" fontId="16" fillId="0" borderId="2" xfId="0" applyNumberFormat="1" applyFont="1" applyBorder="1" applyAlignment="1">
      <alignment horizontal="right" vertical="center"/>
    </xf>
    <xf numFmtId="1" fontId="7" fillId="5" borderId="3" xfId="0" applyNumberFormat="1" applyFont="1" applyFill="1" applyBorder="1" applyAlignment="1">
      <alignment horizontal="right" vertical="center"/>
    </xf>
    <xf numFmtId="1" fontId="16" fillId="0" borderId="2" xfId="0" applyNumberFormat="1" applyFont="1" applyBorder="1" applyAlignment="1">
      <alignment horizontal="right" vertical="center"/>
    </xf>
    <xf numFmtId="172" fontId="14" fillId="0" borderId="2" xfId="0" applyNumberFormat="1" applyFont="1" applyBorder="1" applyAlignment="1">
      <alignment horizontal="right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8" fillId="2" borderId="0" xfId="0" applyFont="1" applyFill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0" fontId="0" fillId="0" borderId="0" xfId="0" applyAlignment="1"/>
    <xf numFmtId="0" fontId="0" fillId="2" borderId="0" xfId="0" applyFill="1" applyAlignment="1"/>
    <xf numFmtId="0" fontId="8" fillId="2" borderId="0" xfId="0" applyFont="1" applyFill="1" applyAlignment="1">
      <alignment horizontal="left" vertical="center"/>
    </xf>
    <xf numFmtId="0" fontId="12" fillId="0" borderId="2" xfId="0" applyFont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1" fontId="16" fillId="4" borderId="2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vertical="center" indent="1"/>
    </xf>
    <xf numFmtId="0" fontId="7" fillId="4" borderId="0" xfId="0" applyFont="1" applyFill="1" applyAlignment="1">
      <alignment vertical="center" wrapText="1" indent="1"/>
    </xf>
    <xf numFmtId="0" fontId="6" fillId="0" borderId="2" xfId="0" applyFont="1" applyBorder="1" applyAlignment="1">
      <alignment vertical="center" wrapText="1" indent="1"/>
    </xf>
    <xf numFmtId="0" fontId="2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vertical="center" wrapText="1" indent="1"/>
    </xf>
    <xf numFmtId="0" fontId="4" fillId="0" borderId="2" xfId="0" applyFont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right" vertical="center"/>
    </xf>
    <xf numFmtId="166" fontId="28" fillId="0" borderId="2" xfId="0" applyNumberFormat="1" applyFont="1" applyBorder="1" applyAlignment="1">
      <alignment horizontal="right" vertical="center"/>
    </xf>
    <xf numFmtId="166" fontId="28" fillId="4" borderId="2" xfId="0" applyNumberFormat="1" applyFont="1" applyFill="1" applyBorder="1" applyAlignment="1">
      <alignment horizontal="right" vertical="center"/>
    </xf>
  </cellXfs>
  <cellStyles count="2">
    <cellStyle name="Hyperlink 1" xfId="1" xr:uid="{00000000-0005-0000-0000-000006000000}"/>
    <cellStyle name="Normal" xfId="0" builtinId="0"/>
  </cellStyles>
  <dxfs count="18"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E7B34"/>
        <name val="Arial"/>
        <charset val="1"/>
      </font>
      <fill>
        <patternFill>
          <bgColor rgb="FFE6F4EA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E7B34"/>
        <name val="Arial"/>
        <charset val="1"/>
      </font>
      <fill>
        <patternFill>
          <bgColor rgb="FFE6F4EA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E7B34"/>
        <name val="Arial"/>
        <charset val="1"/>
      </font>
      <fill>
        <patternFill>
          <bgColor rgb="FFE6F4EA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E7B34"/>
        <name val="Arial"/>
        <charset val="1"/>
      </font>
      <fill>
        <patternFill>
          <bgColor rgb="FFE6F4EA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E7B34"/>
        <name val="Arial"/>
        <charset val="1"/>
      </font>
      <fill>
        <patternFill>
          <bgColor rgb="FFE6F4EA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E7B34"/>
        <name val="Arial"/>
        <charset val="1"/>
      </font>
      <fill>
        <patternFill>
          <bgColor rgb="FFE6F4EA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E7B34"/>
        <name val="Arial"/>
        <charset val="1"/>
      </font>
      <fill>
        <patternFill>
          <bgColor rgb="FFE6F4EA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E7B34"/>
        <name val="Arial"/>
        <charset val="1"/>
      </font>
      <fill>
        <patternFill>
          <bgColor rgb="FFE6F4EA"/>
        </patternFill>
      </fill>
    </dxf>
    <dxf>
      <font>
        <b/>
        <color rgb="FFB42318"/>
        <name val="Arial"/>
        <charset val="1"/>
      </font>
      <fill>
        <patternFill>
          <bgColor rgb="FFFDECEA"/>
        </patternFill>
      </fill>
    </dxf>
    <dxf>
      <font>
        <b/>
        <color rgb="FF1E7B34"/>
        <name val="Arial"/>
        <charset val="1"/>
      </font>
      <fill>
        <patternFill>
          <bgColor rgb="FFE6F4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E7B34"/>
      <rgbColor rgb="FFB8C4D3"/>
      <rgbColor rgb="FF6B7785"/>
      <rgbColor rgb="FF9999FF"/>
      <rgbColor rgb="FF993366"/>
      <rgbColor rgb="FFFFF2CC"/>
      <rgbColor rgb="FFE6F4EA"/>
      <rgbColor rgb="FF660066"/>
      <rgbColor rgb="FFFF8080"/>
      <rgbColor rgb="FF0066CC"/>
      <rgbColor rgb="FFE1E6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AF3"/>
      <rgbColor rgb="FFEEF3F8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FF6600"/>
      <rgbColor rgb="FF57708B"/>
      <rgbColor rgb="FF8C99A8"/>
      <rgbColor rgb="FF1F3A5F"/>
      <rgbColor rgb="FF3A8F85"/>
      <rgbColor rgb="FF162B42"/>
      <rgbColor rgb="FF1F2937"/>
      <rgbColor rgb="FFB42318"/>
      <rgbColor rgb="FF993366"/>
      <rgbColor rgb="FF4B5563"/>
      <rgbColor rgb="FF2637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  <pageSetUpPr fitToPage="1"/>
  </sheetPr>
  <dimension ref="C2:J36"/>
  <sheetViews>
    <sheetView showGridLines="0" zoomScale="110" zoomScaleNormal="11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J49" sqref="J49"/>
    </sheetView>
  </sheetViews>
  <sheetFormatPr defaultColWidth="8.7109375" defaultRowHeight="15" x14ac:dyDescent="0.25"/>
  <cols>
    <col min="1" max="2" width="2" customWidth="1"/>
    <col min="3" max="3" width="60" customWidth="1"/>
    <col min="4" max="4" width="13" customWidth="1"/>
    <col min="5" max="8" width="15.42578125" customWidth="1"/>
    <col min="9" max="9" width="2" customWidth="1"/>
    <col min="10" max="10" width="85" customWidth="1"/>
    <col min="11" max="13" width="9" customWidth="1"/>
  </cols>
  <sheetData>
    <row r="2" spans="3:10" ht="19.5" x14ac:dyDescent="0.25">
      <c r="C2" s="1" t="s">
        <v>0</v>
      </c>
      <c r="D2" s="2"/>
      <c r="E2" s="2"/>
      <c r="F2" s="2"/>
      <c r="G2" s="2"/>
      <c r="H2" s="2"/>
      <c r="I2" s="2"/>
      <c r="J2" s="3"/>
    </row>
    <row r="3" spans="3:10" x14ac:dyDescent="0.25">
      <c r="C3" s="4" t="s">
        <v>1</v>
      </c>
      <c r="J3" s="5"/>
    </row>
    <row r="4" spans="3:10" x14ac:dyDescent="0.25">
      <c r="C4" s="75" t="s">
        <v>2</v>
      </c>
      <c r="D4" s="75"/>
      <c r="E4" s="76" t="str">
        <f>IF(LEN(IF(OR('08 Scenarios'!J9="Conservative",'08 Scenarios'!J9="Optimistic"),TRIM(MID('08 Scenarios'!C8,5,99))&amp;" - "&amp;'08 Scenarios'!J9&amp;"; ","")&amp;IF(OR('08 Scenarios'!J15="Conservative",'08 Scenarios'!J15="Optimistic"),TRIM(MID('08 Scenarios'!C14,5,99))&amp;" - "&amp;'08 Scenarios'!J15&amp;"; ","")&amp;IF(OR('08 Scenarios'!J21="Conservative",'08 Scenarios'!J21="Optimistic"),TRIM(MID('08 Scenarios'!C20,5,99))&amp;" - "&amp;'08 Scenarios'!J21&amp;"; ","")&amp;IF(OR('08 Scenarios'!J27="Conservative",'08 Scenarios'!J27="Optimistic"),TRIM(MID('08 Scenarios'!C26,5,99))&amp;" - "&amp;'08 Scenarios'!J27&amp;"; ","")&amp;IF(OR('08 Scenarios'!J33="Conservative",'08 Scenarios'!J33="Optimistic"),TRIM(MID('08 Scenarios'!C32,5,99))&amp;" - "&amp;'08 Scenarios'!J33&amp;"; ","")&amp;IF(OR('08 Scenarios'!J39="Conservative",'08 Scenarios'!J39="Optimistic"),TRIM(MID('08 Scenarios'!C38,5,99))&amp;" - "&amp;'08 Scenarios'!J39&amp;"; ","")&amp;IF(OR('08 Scenarios'!J45="Conservative",'08 Scenarios'!J45="Optimistic"),TRIM(MID('08 Scenarios'!C44,5,99))&amp;" - "&amp;'08 Scenarios'!J45&amp;"; ","")&amp;IF(OR('08 Scenarios'!J51="Conservative",'08 Scenarios'!J51="Optimistic"),TRIM(MID('08 Scenarios'!C50,5,99))&amp;" - "&amp;'08 Scenarios'!J51&amp;"; ",""))=0,"Base",LEFT(IF(OR('08 Scenarios'!J9="Conservative",'08 Scenarios'!J9="Optimistic"),TRIM(MID('08 Scenarios'!C8,5,99))&amp;" - "&amp;'08 Scenarios'!J9&amp;"; ","")&amp;IF(OR('08 Scenarios'!J15="Conservative",'08 Scenarios'!J15="Optimistic"),TRIM(MID('08 Scenarios'!C14,5,99))&amp;" - "&amp;'08 Scenarios'!J15&amp;"; ","")&amp;IF(OR('08 Scenarios'!J21="Conservative",'08 Scenarios'!J21="Optimistic"),TRIM(MID('08 Scenarios'!C20,5,99))&amp;" - "&amp;'08 Scenarios'!J21&amp;"; ","")&amp;IF(OR('08 Scenarios'!J27="Conservative",'08 Scenarios'!J27="Optimistic"),TRIM(MID('08 Scenarios'!C26,5,99))&amp;" - "&amp;'08 Scenarios'!J27&amp;"; ","")&amp;IF(OR('08 Scenarios'!J33="Conservative",'08 Scenarios'!J33="Optimistic"),TRIM(MID('08 Scenarios'!C32,5,99))&amp;" - "&amp;'08 Scenarios'!J33&amp;"; ","")&amp;IF(OR('08 Scenarios'!J39="Conservative",'08 Scenarios'!J39="Optimistic"),TRIM(MID('08 Scenarios'!C38,5,99))&amp;" - "&amp;'08 Scenarios'!J39&amp;"; ","")&amp;IF(OR('08 Scenarios'!J45="Conservative",'08 Scenarios'!J45="Optimistic"),TRIM(MID('08 Scenarios'!C44,5,99))&amp;" - "&amp;'08 Scenarios'!J45&amp;"; ","")&amp;IF(OR('08 Scenarios'!J51="Conservative",'08 Scenarios'!J51="Optimistic"),TRIM(MID('08 Scenarios'!C50,5,99))&amp;" - "&amp;'08 Scenarios'!J51&amp;"; ",""),LEN(IF(OR('08 Scenarios'!J9="Conservative",'08 Scenarios'!J9="Optimistic"),TRIM(MID('08 Scenarios'!C8,5,99))&amp;" - "&amp;'08 Scenarios'!J9&amp;"; ","")&amp;IF(OR('08 Scenarios'!J15="Conservative",'08 Scenarios'!J15="Optimistic"),TRIM(MID('08 Scenarios'!C14,5,99))&amp;" - "&amp;'08 Scenarios'!J15&amp;"; ","")&amp;IF(OR('08 Scenarios'!J21="Conservative",'08 Scenarios'!J21="Optimistic"),TRIM(MID('08 Scenarios'!C20,5,99))&amp;" - "&amp;'08 Scenarios'!J21&amp;"; ","")&amp;IF(OR('08 Scenarios'!J27="Conservative",'08 Scenarios'!J27="Optimistic"),TRIM(MID('08 Scenarios'!C26,5,99))&amp;" - "&amp;'08 Scenarios'!J27&amp;"; ","")&amp;IF(OR('08 Scenarios'!J33="Conservative",'08 Scenarios'!J33="Optimistic"),TRIM(MID('08 Scenarios'!C32,5,99))&amp;" - "&amp;'08 Scenarios'!J33&amp;"; ","")&amp;IF(OR('08 Scenarios'!J39="Conservative",'08 Scenarios'!J39="Optimistic"),TRIM(MID('08 Scenarios'!C38,5,99))&amp;" - "&amp;'08 Scenarios'!J39&amp;"; ","")&amp;IF(OR('08 Scenarios'!J45="Conservative",'08 Scenarios'!J45="Optimistic"),TRIM(MID('08 Scenarios'!C44,5,99))&amp;" - "&amp;'08 Scenarios'!J45&amp;"; ","")&amp;IF(OR('08 Scenarios'!J51="Conservative",'08 Scenarios'!J51="Optimistic"),TRIM(MID('08 Scenarios'!C50,5,99))&amp;" - "&amp;'08 Scenarios'!J51&amp;"; ",""))-2))</f>
        <v>Base</v>
      </c>
      <c r="F4" s="76"/>
      <c r="G4" s="76"/>
      <c r="H4" s="76"/>
      <c r="I4" s="76"/>
      <c r="J4" s="76"/>
    </row>
    <row r="5" spans="3:10" x14ac:dyDescent="0.25">
      <c r="C5" s="4" t="s">
        <v>3</v>
      </c>
    </row>
    <row r="7" spans="3:10" x14ac:dyDescent="0.25">
      <c r="C7" s="6" t="s">
        <v>4</v>
      </c>
      <c r="D7" s="7" t="s">
        <v>5</v>
      </c>
      <c r="E7" s="7">
        <v>2027</v>
      </c>
      <c r="F7" s="7">
        <v>2028</v>
      </c>
      <c r="G7" s="7">
        <v>2029</v>
      </c>
      <c r="H7" s="7">
        <v>2030</v>
      </c>
      <c r="J7" s="6" t="s">
        <v>6</v>
      </c>
    </row>
    <row r="10" spans="3:10" x14ac:dyDescent="0.25">
      <c r="C10" s="8" t="s">
        <v>7</v>
      </c>
      <c r="D10" s="8"/>
      <c r="E10" s="8"/>
      <c r="F10" s="8"/>
      <c r="G10" s="8"/>
      <c r="H10" s="8"/>
      <c r="I10" s="9"/>
      <c r="J10" s="8"/>
    </row>
    <row r="11" spans="3:10" x14ac:dyDescent="0.25">
      <c r="C11" s="10" t="s">
        <v>8</v>
      </c>
      <c r="D11" s="11" t="s">
        <v>9</v>
      </c>
      <c r="E11" s="12">
        <f>'05 P&amp;L'!E17</f>
        <v>1037817.6</v>
      </c>
      <c r="F11" s="12">
        <f>'05 P&amp;L'!F17</f>
        <v>7351230.7666666666</v>
      </c>
      <c r="G11" s="12">
        <f>'05 P&amp;L'!G17</f>
        <v>17984966.666666668</v>
      </c>
      <c r="H11" s="12">
        <f>'05 P&amp;L'!H17</f>
        <v>27198189.866666667</v>
      </c>
      <c r="J11" s="13"/>
    </row>
    <row r="12" spans="3:10" x14ac:dyDescent="0.25">
      <c r="C12" s="10" t="s">
        <v>10</v>
      </c>
      <c r="D12" s="11" t="s">
        <v>9</v>
      </c>
      <c r="E12" s="12">
        <f>'05 P&amp;L'!E35</f>
        <v>743211.13658536586</v>
      </c>
      <c r="F12" s="12">
        <f>'05 P&amp;L'!F35</f>
        <v>6363629.5878048781</v>
      </c>
      <c r="G12" s="12">
        <f>'05 P&amp;L'!G35</f>
        <v>15947231.341463417</v>
      </c>
      <c r="H12" s="12">
        <f>'05 P&amp;L'!H35</f>
        <v>24306234.297560975</v>
      </c>
      <c r="J12" s="13"/>
    </row>
    <row r="13" spans="3:10" x14ac:dyDescent="0.25">
      <c r="C13" s="14" t="s">
        <v>11</v>
      </c>
      <c r="D13" s="15" t="s">
        <v>12</v>
      </c>
      <c r="E13" s="16">
        <f>'05 P&amp;L'!E36</f>
        <v>0.7161288617434951</v>
      </c>
      <c r="F13" s="16">
        <f>'05 P&amp;L'!F36</f>
        <v>0.8656549889115227</v>
      </c>
      <c r="G13" s="16">
        <f>'05 P&amp;L'!G36</f>
        <v>0.88669785365907905</v>
      </c>
      <c r="H13" s="16">
        <f>'05 P&amp;L'!H36</f>
        <v>0.89367102798815334</v>
      </c>
      <c r="I13" s="9"/>
      <c r="J13" s="17"/>
    </row>
    <row r="14" spans="3:10" x14ac:dyDescent="0.25">
      <c r="C14" s="14" t="s">
        <v>13</v>
      </c>
      <c r="D14" s="15" t="s">
        <v>9</v>
      </c>
      <c r="E14" s="18">
        <f>'06 Cash Flow'!E41</f>
        <v>427598.12047713669</v>
      </c>
      <c r="F14" s="18">
        <f>'06 Cash Flow'!F41</f>
        <v>5103182.5791244674</v>
      </c>
      <c r="G14" s="18">
        <f>'06 Cash Flow'!G41</f>
        <v>16658400.307493469</v>
      </c>
      <c r="H14" s="18">
        <f>'06 Cash Flow'!H41</f>
        <v>35213428.003566764</v>
      </c>
      <c r="I14" s="9"/>
      <c r="J14" s="17"/>
    </row>
    <row r="16" spans="3:10" x14ac:dyDescent="0.25">
      <c r="C16" s="8" t="s">
        <v>14</v>
      </c>
      <c r="D16" s="8"/>
      <c r="E16" s="8"/>
      <c r="F16" s="8"/>
      <c r="G16" s="8"/>
      <c r="H16" s="8"/>
      <c r="I16" s="9"/>
      <c r="J16" s="8"/>
    </row>
    <row r="17" spans="3:10" x14ac:dyDescent="0.25">
      <c r="C17" s="14" t="s">
        <v>15</v>
      </c>
      <c r="D17" s="15" t="s">
        <v>9</v>
      </c>
      <c r="E17" s="18">
        <f>'05 P&amp;L'!E11</f>
        <v>803784</v>
      </c>
      <c r="F17" s="18">
        <f>'05 P&amp;L'!F11</f>
        <v>4766885.666666667</v>
      </c>
      <c r="G17" s="18">
        <f>'05 P&amp;L'!G11</f>
        <v>11163666.666666668</v>
      </c>
      <c r="H17" s="18">
        <f>'05 P&amp;L'!H11</f>
        <v>16790154.666666668</v>
      </c>
      <c r="I17" s="9"/>
      <c r="J17" s="17"/>
    </row>
    <row r="18" spans="3:10" x14ac:dyDescent="0.25">
      <c r="C18" s="14" t="s">
        <v>16</v>
      </c>
      <c r="D18" s="15" t="s">
        <v>9</v>
      </c>
      <c r="E18" s="18">
        <f>'05 P&amp;L'!E12</f>
        <v>27000</v>
      </c>
      <c r="F18" s="18">
        <f>'05 P&amp;L'!F12</f>
        <v>1281000</v>
      </c>
      <c r="G18" s="18">
        <f>'05 P&amp;L'!G12</f>
        <v>3750000</v>
      </c>
      <c r="H18" s="18">
        <f>'05 P&amp;L'!H12</f>
        <v>5640000</v>
      </c>
      <c r="I18" s="9"/>
      <c r="J18" s="17"/>
    </row>
    <row r="19" spans="3:10" x14ac:dyDescent="0.25">
      <c r="C19" s="14" t="s">
        <v>17</v>
      </c>
      <c r="D19" s="15" t="s">
        <v>9</v>
      </c>
      <c r="E19" s="18">
        <f>'05 P&amp;L'!E13</f>
        <v>134820</v>
      </c>
      <c r="F19" s="18">
        <f>'05 P&amp;L'!F13</f>
        <v>799557.5</v>
      </c>
      <c r="G19" s="18">
        <f>'05 P&amp;L'!G13</f>
        <v>1872500</v>
      </c>
      <c r="H19" s="18">
        <f>'05 P&amp;L'!H13</f>
        <v>2816240</v>
      </c>
      <c r="I19" s="9"/>
      <c r="J19" s="17"/>
    </row>
    <row r="20" spans="3:10" x14ac:dyDescent="0.25">
      <c r="C20" s="14" t="s">
        <v>18</v>
      </c>
      <c r="D20" s="15" t="s">
        <v>9</v>
      </c>
      <c r="E20" s="18">
        <f>'05 P&amp;L'!E16</f>
        <v>72213.600000000006</v>
      </c>
      <c r="F20" s="18">
        <f>'05 P&amp;L'!F16</f>
        <v>503787.60000000003</v>
      </c>
      <c r="G20" s="18">
        <f>'05 P&amp;L'!G16</f>
        <v>1198800</v>
      </c>
      <c r="H20" s="18">
        <f>'05 P&amp;L'!H16</f>
        <v>1951795.2</v>
      </c>
      <c r="I20" s="9"/>
      <c r="J20" s="17"/>
    </row>
    <row r="21" spans="3:10" x14ac:dyDescent="0.25">
      <c r="C21" s="14" t="s">
        <v>19</v>
      </c>
      <c r="D21" s="15" t="s">
        <v>12</v>
      </c>
      <c r="E21" s="19">
        <f>IF(E11=0,0,E18/E11)</f>
        <v>2.6016132314580134E-2</v>
      </c>
      <c r="F21" s="19">
        <f>IF(F11=0,0,F18/F11)</f>
        <v>0.17425653481163333</v>
      </c>
      <c r="G21" s="19">
        <f>IF(G11=0,0,G18/G11)</f>
        <v>0.20850747568802833</v>
      </c>
      <c r="H21" s="19">
        <f>IF(H11=0,0,H18/H11)</f>
        <v>0.2073667412297987</v>
      </c>
      <c r="I21" s="9"/>
      <c r="J21" s="17" t="s">
        <v>20</v>
      </c>
    </row>
    <row r="23" spans="3:10" x14ac:dyDescent="0.25">
      <c r="C23" s="8" t="s">
        <v>21</v>
      </c>
      <c r="D23" s="8"/>
      <c r="E23" s="8"/>
      <c r="F23" s="8"/>
      <c r="G23" s="8"/>
      <c r="H23" s="8"/>
      <c r="I23" s="9"/>
      <c r="J23" s="8"/>
    </row>
    <row r="24" spans="3:10" x14ac:dyDescent="0.25">
      <c r="C24" s="14" t="s">
        <v>22</v>
      </c>
      <c r="D24" s="15" t="s">
        <v>23</v>
      </c>
      <c r="E24" s="20">
        <f>'01 Market'!E15</f>
        <v>60</v>
      </c>
      <c r="F24" s="20">
        <f>'01 Market'!F15</f>
        <v>367</v>
      </c>
      <c r="G24" s="20">
        <f>'01 Market'!G15</f>
        <v>633</v>
      </c>
      <c r="H24" s="20">
        <f>'01 Market'!H15</f>
        <v>871</v>
      </c>
      <c r="I24" s="9"/>
      <c r="J24" s="17" t="s">
        <v>24</v>
      </c>
    </row>
    <row r="25" spans="3:10" x14ac:dyDescent="0.25">
      <c r="C25" s="14" t="s">
        <v>25</v>
      </c>
      <c r="D25" s="15" t="s">
        <v>9</v>
      </c>
      <c r="E25" s="18">
        <f>'01 Market'!E24</f>
        <v>89880</v>
      </c>
      <c r="F25" s="18">
        <f>'01 Market'!F24</f>
        <v>149800</v>
      </c>
      <c r="G25" s="18">
        <f>'01 Market'!G24</f>
        <v>149800</v>
      </c>
      <c r="H25" s="18">
        <f>'01 Market'!H24</f>
        <v>149800</v>
      </c>
      <c r="I25" s="9"/>
      <c r="J25" s="17"/>
    </row>
    <row r="26" spans="3:10" x14ac:dyDescent="0.25">
      <c r="C26" s="14" t="s">
        <v>26</v>
      </c>
      <c r="D26" s="15" t="s">
        <v>9</v>
      </c>
      <c r="E26" s="18">
        <f>'04 Operations'!E10</f>
        <v>5392800</v>
      </c>
      <c r="F26" s="18">
        <f>'04 Operations'!F10</f>
        <v>31982300</v>
      </c>
      <c r="G26" s="18">
        <f>'04 Operations'!G10</f>
        <v>74900000</v>
      </c>
      <c r="H26" s="18">
        <f>'04 Operations'!H10</f>
        <v>112649600</v>
      </c>
      <c r="I26" s="9"/>
      <c r="J26" s="17"/>
    </row>
    <row r="27" spans="3:10" x14ac:dyDescent="0.25">
      <c r="C27" s="14" t="s">
        <v>27</v>
      </c>
      <c r="D27" s="15" t="s">
        <v>12</v>
      </c>
      <c r="E27" s="16">
        <f>'05 P&amp;L'!E18</f>
        <v>0.1924450378282154</v>
      </c>
      <c r="F27" s="16">
        <f>'05 P&amp;L'!F18</f>
        <v>0.2298530989536921</v>
      </c>
      <c r="G27" s="16">
        <f>'05 P&amp;L'!G18</f>
        <v>0.24011971517578995</v>
      </c>
      <c r="H27" s="16">
        <f>'05 P&amp;L'!H18</f>
        <v>0.2414406253254931</v>
      </c>
      <c r="I27" s="9"/>
      <c r="J27" s="17"/>
    </row>
    <row r="30" spans="3:10" x14ac:dyDescent="0.25">
      <c r="C30" s="8" t="s">
        <v>28</v>
      </c>
      <c r="D30" s="8"/>
      <c r="E30" s="8"/>
      <c r="F30" s="8"/>
      <c r="G30" s="8"/>
      <c r="H30" s="8"/>
      <c r="I30" s="9"/>
      <c r="J30" s="8"/>
    </row>
    <row r="31" spans="3:10" x14ac:dyDescent="0.25">
      <c r="C31" s="14" t="s">
        <v>29</v>
      </c>
      <c r="D31" s="15" t="s">
        <v>30</v>
      </c>
      <c r="E31" s="21"/>
      <c r="F31" s="21"/>
      <c r="G31" s="21"/>
      <c r="H31" s="22" t="str">
        <f>IF(H11&gt;=20000000,"PASS","NOT MET")</f>
        <v>PASS</v>
      </c>
      <c r="I31" s="9"/>
      <c r="J31" s="17"/>
    </row>
    <row r="32" spans="3:10" x14ac:dyDescent="0.25">
      <c r="C32" s="14" t="s">
        <v>31</v>
      </c>
      <c r="D32" s="15" t="s">
        <v>30</v>
      </c>
      <c r="E32" s="21"/>
      <c r="F32" s="21"/>
      <c r="G32" s="21"/>
      <c r="H32" s="22" t="str">
        <f>IF(H11&gt;=25000000,"PASS","NOT MET")</f>
        <v>PASS</v>
      </c>
      <c r="I32" s="9"/>
      <c r="J32" s="17"/>
    </row>
    <row r="33" spans="3:10" x14ac:dyDescent="0.25">
      <c r="C33" s="14" t="s">
        <v>32</v>
      </c>
      <c r="D33" s="15" t="s">
        <v>30</v>
      </c>
      <c r="E33" s="21"/>
      <c r="F33" s="21"/>
      <c r="G33" s="21"/>
      <c r="H33" s="22" t="str">
        <f>IF(H12&gt;0,"PASS","NOT MET")</f>
        <v>PASS</v>
      </c>
      <c r="I33" s="9"/>
      <c r="J33" s="17"/>
    </row>
    <row r="34" spans="3:10" x14ac:dyDescent="0.25">
      <c r="C34" s="14" t="s">
        <v>33</v>
      </c>
      <c r="D34" s="15" t="s">
        <v>30</v>
      </c>
      <c r="E34" s="23" t="str">
        <f>'09 Checks'!E23</f>
        <v>PASS</v>
      </c>
      <c r="F34" s="23" t="str">
        <f>'09 Checks'!F23</f>
        <v>PASS</v>
      </c>
      <c r="G34" s="23" t="str">
        <f>'09 Checks'!G23</f>
        <v>PASS</v>
      </c>
      <c r="H34" s="23" t="str">
        <f>'09 Checks'!H23</f>
        <v>PASS</v>
      </c>
      <c r="I34" s="9"/>
      <c r="J34" s="17"/>
    </row>
    <row r="35" spans="3:10" x14ac:dyDescent="0.25">
      <c r="C35" s="14" t="s">
        <v>34</v>
      </c>
      <c r="D35" s="15" t="s">
        <v>35</v>
      </c>
      <c r="E35" s="24">
        <f>'06 Cash Flow'!E43</f>
        <v>2027</v>
      </c>
      <c r="F35" s="21"/>
      <c r="G35" s="21"/>
      <c r="H35" s="21"/>
      <c r="I35" s="9"/>
      <c r="J35" s="17"/>
    </row>
    <row r="36" spans="3:10" x14ac:dyDescent="0.25">
      <c r="C36" s="14" t="s">
        <v>36</v>
      </c>
      <c r="D36" s="15" t="s">
        <v>9</v>
      </c>
      <c r="E36" s="18">
        <f>'06 Cash Flow'!E42</f>
        <v>0</v>
      </c>
      <c r="F36" s="21"/>
      <c r="G36" s="21"/>
      <c r="H36" s="21"/>
      <c r="I36" s="9"/>
      <c r="J36" s="17"/>
    </row>
  </sheetData>
  <mergeCells count="2">
    <mergeCell ref="C4:D4"/>
    <mergeCell ref="E4:J4"/>
  </mergeCells>
  <conditionalFormatting sqref="E8:H36">
    <cfRule type="expression" dxfId="17" priority="2">
      <formula>E8="PASS"</formula>
    </cfRule>
    <cfRule type="expression" dxfId="16" priority="3">
      <formula>OR(E8="NOT MET",E8="CHECK",E8="ERROR",E8="OVER CAP",E8="REVIEW (&gt;60%)")</formula>
    </cfRule>
  </conditionalFormatting>
  <pageMargins left="0.4" right="0.4" top="0.5" bottom="0.5" header="0.511811023622047" footer="0.51180555555555596"/>
  <pageSetup paperSize="9" fitToHeight="0" orientation="landscape" horizontalDpi="300" verticalDpi="300"/>
  <headerFooter>
    <oddFooter>&amp;C&amp;8 &amp;A  ·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C2:M35"/>
  <sheetViews>
    <sheetView showGridLines="0" zoomScale="110" zoomScaleNormal="110" workbookViewId="0">
      <pane xSplit="4" ySplit="5" topLeftCell="E6" activePane="bottomRight" state="frozen"/>
      <selection activeCell="H59" sqref="H59"/>
      <selection pane="topRight" activeCell="H59" sqref="H59"/>
      <selection pane="bottomLeft" activeCell="H59" sqref="H59"/>
      <selection pane="bottomRight" activeCell="C39" sqref="C39"/>
    </sheetView>
  </sheetViews>
  <sheetFormatPr defaultColWidth="8.7109375" defaultRowHeight="15" x14ac:dyDescent="0.25"/>
  <cols>
    <col min="1" max="2" width="2" customWidth="1"/>
    <col min="3" max="3" width="60" customWidth="1"/>
    <col min="4" max="4" width="13" customWidth="1"/>
    <col min="5" max="8" width="15.42578125" customWidth="1"/>
    <col min="9" max="9" width="2" customWidth="1"/>
    <col min="10" max="10" width="108.42578125" style="40" customWidth="1"/>
    <col min="11" max="13" width="9" customWidth="1"/>
  </cols>
  <sheetData>
    <row r="2" spans="3:10" ht="19.5" x14ac:dyDescent="0.25">
      <c r="C2" s="1" t="s">
        <v>37</v>
      </c>
      <c r="D2" s="2"/>
      <c r="E2" s="2"/>
      <c r="F2" s="2"/>
      <c r="G2" s="2"/>
      <c r="H2" s="2"/>
      <c r="I2" s="2"/>
      <c r="J2" s="66"/>
    </row>
    <row r="3" spans="3:10" x14ac:dyDescent="0.25">
      <c r="C3" s="4" t="s">
        <v>38</v>
      </c>
    </row>
    <row r="5" spans="3:10" x14ac:dyDescent="0.25">
      <c r="C5" s="6" t="s">
        <v>4</v>
      </c>
      <c r="D5" s="7" t="s">
        <v>5</v>
      </c>
      <c r="E5" s="7">
        <v>2027</v>
      </c>
      <c r="F5" s="7">
        <v>2028</v>
      </c>
      <c r="G5" s="7">
        <v>2029</v>
      </c>
      <c r="H5" s="7">
        <v>2030</v>
      </c>
      <c r="J5" s="67" t="s">
        <v>6</v>
      </c>
    </row>
    <row r="7" spans="3:10" x14ac:dyDescent="0.25">
      <c r="C7" s="8" t="s">
        <v>39</v>
      </c>
      <c r="D7" s="8"/>
      <c r="E7" s="8"/>
      <c r="F7" s="8"/>
      <c r="G7" s="8"/>
      <c r="H7" s="8"/>
      <c r="J7" s="68"/>
    </row>
    <row r="8" spans="3:10" x14ac:dyDescent="0.25">
      <c r="C8" s="14" t="s">
        <v>40</v>
      </c>
      <c r="D8" s="15" t="s">
        <v>41</v>
      </c>
      <c r="E8" s="25">
        <v>6</v>
      </c>
      <c r="F8" s="25">
        <v>12</v>
      </c>
      <c r="G8" s="25">
        <v>12</v>
      </c>
      <c r="H8" s="25">
        <v>12</v>
      </c>
      <c r="J8" s="17" t="s">
        <v>42</v>
      </c>
    </row>
    <row r="10" spans="3:10" x14ac:dyDescent="0.25">
      <c r="C10" s="8" t="s">
        <v>43</v>
      </c>
      <c r="D10" s="8"/>
      <c r="E10" s="8"/>
      <c r="F10" s="8"/>
      <c r="G10" s="8"/>
      <c r="H10" s="8"/>
      <c r="J10" s="68"/>
    </row>
    <row r="11" spans="3:10" x14ac:dyDescent="0.25">
      <c r="C11" s="77" t="s">
        <v>44</v>
      </c>
      <c r="D11" s="78"/>
      <c r="E11" s="79">
        <f>400*(1+20%)</f>
        <v>480</v>
      </c>
      <c r="F11" s="79">
        <f>ROUND(E11*(1+20%),0)</f>
        <v>576</v>
      </c>
      <c r="G11" s="79">
        <f>ROUND(F11*(1+20%),0)</f>
        <v>691</v>
      </c>
      <c r="H11" s="79">
        <f>ROUND(G11*(1+20%),0)</f>
        <v>829</v>
      </c>
      <c r="J11" s="17" t="s">
        <v>45</v>
      </c>
    </row>
    <row r="12" spans="3:10" x14ac:dyDescent="0.25">
      <c r="C12" s="80" t="s">
        <v>46</v>
      </c>
      <c r="D12" s="81" t="s">
        <v>23</v>
      </c>
      <c r="E12" s="82">
        <v>60</v>
      </c>
      <c r="F12" s="83">
        <f>ROUND(F11*'08 Scenarios'!F9,0)</f>
        <v>288</v>
      </c>
      <c r="G12" s="83">
        <f>ROUND(G11*'08 Scenarios'!G9,0)</f>
        <v>484</v>
      </c>
      <c r="H12" s="83">
        <f>ROUND(H11*'08 Scenarios'!H9,0)</f>
        <v>663</v>
      </c>
      <c r="J12" s="17" t="s">
        <v>47</v>
      </c>
    </row>
    <row r="13" spans="3:10" x14ac:dyDescent="0.25">
      <c r="C13" s="80" t="s">
        <v>48</v>
      </c>
      <c r="D13" s="81" t="s">
        <v>23</v>
      </c>
      <c r="E13" s="83">
        <f>'03 Strategy'!E10</f>
        <v>0</v>
      </c>
      <c r="F13" s="83">
        <f>'03 Strategy'!F10</f>
        <v>79</v>
      </c>
      <c r="G13" s="83">
        <f>'03 Strategy'!G10</f>
        <v>119</v>
      </c>
      <c r="H13" s="83">
        <f>'03 Strategy'!H10</f>
        <v>158</v>
      </c>
      <c r="J13" s="17" t="s">
        <v>49</v>
      </c>
    </row>
    <row r="14" spans="3:10" ht="24" x14ac:dyDescent="0.25">
      <c r="C14" s="80" t="s">
        <v>50</v>
      </c>
      <c r="D14" s="81" t="s">
        <v>23</v>
      </c>
      <c r="E14" s="84">
        <f>'08 Scenarios'!E15</f>
        <v>0</v>
      </c>
      <c r="F14" s="84">
        <f>'08 Scenarios'!F15</f>
        <v>0</v>
      </c>
      <c r="G14" s="84">
        <f>'08 Scenarios'!G15</f>
        <v>30</v>
      </c>
      <c r="H14" s="84">
        <f>'08 Scenarios'!H15</f>
        <v>50</v>
      </c>
      <c r="J14" s="17" t="s">
        <v>51</v>
      </c>
    </row>
    <row r="15" spans="3:10" x14ac:dyDescent="0.25">
      <c r="C15" s="10" t="s">
        <v>52</v>
      </c>
      <c r="D15" s="11" t="s">
        <v>23</v>
      </c>
      <c r="E15" s="27">
        <f>SUM(E12:E14)</f>
        <v>60</v>
      </c>
      <c r="F15" s="27">
        <f>SUM(F12:F14)</f>
        <v>367</v>
      </c>
      <c r="G15" s="27">
        <f>SUM(G12:G14)</f>
        <v>633</v>
      </c>
      <c r="H15" s="27">
        <f>SUM(H12:H14)</f>
        <v>871</v>
      </c>
      <c r="J15" s="13" t="s">
        <v>53</v>
      </c>
    </row>
    <row r="16" spans="3:10" x14ac:dyDescent="0.25">
      <c r="C16" s="14" t="s">
        <v>54</v>
      </c>
      <c r="D16" s="15" t="s">
        <v>55</v>
      </c>
      <c r="E16" s="28">
        <f>E15</f>
        <v>60</v>
      </c>
      <c r="F16" s="28">
        <f>(E15+F15)/2*F8/12</f>
        <v>213.5</v>
      </c>
      <c r="G16" s="28">
        <f>(F15+G15)/2*G8/12</f>
        <v>500</v>
      </c>
      <c r="H16" s="28">
        <f>(G15+H15)/2*H8/12</f>
        <v>752</v>
      </c>
      <c r="J16" s="17" t="s">
        <v>56</v>
      </c>
    </row>
    <row r="18" spans="3:13" x14ac:dyDescent="0.25">
      <c r="C18" s="8" t="s">
        <v>57</v>
      </c>
      <c r="D18" s="8"/>
      <c r="E18" s="8"/>
      <c r="F18" s="8"/>
      <c r="G18" s="8"/>
      <c r="H18" s="8"/>
      <c r="J18" s="68"/>
    </row>
    <row r="19" spans="3:13" x14ac:dyDescent="0.25">
      <c r="C19" s="14" t="s">
        <v>58</v>
      </c>
      <c r="D19" s="15" t="s">
        <v>12</v>
      </c>
      <c r="E19" s="29">
        <f>'08 Scenarios'!E21</f>
        <v>0.2</v>
      </c>
      <c r="F19" s="29">
        <f>'08 Scenarios'!F21</f>
        <v>0.2</v>
      </c>
      <c r="G19" s="29">
        <f>'08 Scenarios'!G21</f>
        <v>0.2</v>
      </c>
      <c r="H19" s="29">
        <f>'08 Scenarios'!H21</f>
        <v>0.2</v>
      </c>
      <c r="J19" s="17" t="s">
        <v>59</v>
      </c>
    </row>
    <row r="20" spans="3:13" ht="36" x14ac:dyDescent="0.25">
      <c r="C20" s="14" t="s">
        <v>60</v>
      </c>
      <c r="D20" s="15" t="s">
        <v>9</v>
      </c>
      <c r="E20" s="30">
        <v>1500000</v>
      </c>
      <c r="F20" s="30">
        <v>1500000</v>
      </c>
      <c r="G20" s="30">
        <v>1500000</v>
      </c>
      <c r="H20" s="30">
        <v>1500000</v>
      </c>
      <c r="J20" s="17" t="s">
        <v>61</v>
      </c>
    </row>
    <row r="21" spans="3:13" ht="36" x14ac:dyDescent="0.25">
      <c r="C21" s="14" t="s">
        <v>62</v>
      </c>
      <c r="D21" s="15" t="s">
        <v>9</v>
      </c>
      <c r="E21" s="30">
        <v>160000</v>
      </c>
      <c r="F21" s="30">
        <v>160000</v>
      </c>
      <c r="G21" s="30">
        <v>160000</v>
      </c>
      <c r="H21" s="30">
        <v>160000</v>
      </c>
      <c r="J21" s="17" t="s">
        <v>63</v>
      </c>
    </row>
    <row r="22" spans="3:13" x14ac:dyDescent="0.25">
      <c r="C22" s="14" t="s">
        <v>64</v>
      </c>
      <c r="D22" s="15" t="s">
        <v>12</v>
      </c>
      <c r="E22" s="31">
        <v>0.3</v>
      </c>
      <c r="F22" s="31">
        <v>0.5</v>
      </c>
      <c r="G22" s="31">
        <v>0.5</v>
      </c>
      <c r="H22" s="31">
        <v>0.5</v>
      </c>
      <c r="J22" s="17" t="s">
        <v>65</v>
      </c>
    </row>
    <row r="23" spans="3:13" x14ac:dyDescent="0.25">
      <c r="C23" s="14" t="s">
        <v>66</v>
      </c>
      <c r="D23" s="15"/>
      <c r="E23" s="31">
        <v>0.7</v>
      </c>
      <c r="F23" s="31">
        <v>0.7</v>
      </c>
      <c r="G23" s="31">
        <v>0.7</v>
      </c>
      <c r="H23" s="31">
        <v>0.7</v>
      </c>
      <c r="J23" s="17" t="s">
        <v>67</v>
      </c>
    </row>
    <row r="24" spans="3:13" x14ac:dyDescent="0.25">
      <c r="C24" s="10" t="s">
        <v>68</v>
      </c>
      <c r="D24" s="11" t="s">
        <v>9</v>
      </c>
      <c r="E24" s="32">
        <f>(E19*E20+(1-E19)*E21)*E22*E23</f>
        <v>89880</v>
      </c>
      <c r="F24" s="32">
        <f>(F19*F20+(1-F19)*F21)*F22*F23</f>
        <v>149800</v>
      </c>
      <c r="G24" s="32">
        <f>(G19*G20+(1-G19)*G21)*G22*G23</f>
        <v>149800</v>
      </c>
      <c r="H24" s="32">
        <f>(H19*H20+(1-H19)*H21)*H22*H23</f>
        <v>149800</v>
      </c>
      <c r="J24" s="13" t="s">
        <v>69</v>
      </c>
      <c r="M24" s="33"/>
    </row>
    <row r="26" spans="3:13" x14ac:dyDescent="0.25">
      <c r="C26" s="8" t="s">
        <v>70</v>
      </c>
      <c r="D26" s="8"/>
      <c r="E26" s="8"/>
      <c r="F26" s="8"/>
      <c r="G26" s="8"/>
      <c r="H26" s="8"/>
      <c r="J26" s="68"/>
    </row>
    <row r="27" spans="3:13" x14ac:dyDescent="0.25">
      <c r="C27" s="14" t="s">
        <v>71</v>
      </c>
      <c r="D27" s="15" t="s">
        <v>12</v>
      </c>
      <c r="E27" s="29">
        <f>'08 Scenarios'!E33</f>
        <v>0.6</v>
      </c>
      <c r="F27" s="29">
        <f>'08 Scenarios'!F33</f>
        <v>0.6</v>
      </c>
      <c r="G27" s="29">
        <f>'08 Scenarios'!G33</f>
        <v>0.6</v>
      </c>
      <c r="H27" s="29">
        <f>'08 Scenarios'!H33</f>
        <v>0.6</v>
      </c>
      <c r="J27" s="17" t="s">
        <v>72</v>
      </c>
    </row>
    <row r="28" spans="3:13" x14ac:dyDescent="0.25">
      <c r="C28" s="14" t="s">
        <v>73</v>
      </c>
      <c r="D28" s="15" t="s">
        <v>12</v>
      </c>
      <c r="E28" s="29">
        <f>'08 Scenarios'!E39</f>
        <v>0.35</v>
      </c>
      <c r="F28" s="29">
        <f>'08 Scenarios'!F39</f>
        <v>0.35</v>
      </c>
      <c r="G28" s="29">
        <f>'08 Scenarios'!G39</f>
        <v>0.35</v>
      </c>
      <c r="H28" s="29">
        <f>'08 Scenarios'!H39</f>
        <v>0.35</v>
      </c>
      <c r="J28" s="17" t="s">
        <v>74</v>
      </c>
    </row>
    <row r="29" spans="3:13" x14ac:dyDescent="0.25">
      <c r="C29" s="14" t="s">
        <v>75</v>
      </c>
      <c r="D29" s="15" t="s">
        <v>12</v>
      </c>
      <c r="E29" s="29">
        <f>'08 Scenarios'!E45</f>
        <v>0.75</v>
      </c>
      <c r="F29" s="29">
        <f>'08 Scenarios'!F45</f>
        <v>0.75</v>
      </c>
      <c r="G29" s="29">
        <f>'08 Scenarios'!G45</f>
        <v>0.75</v>
      </c>
      <c r="H29" s="29">
        <f>'08 Scenarios'!H45</f>
        <v>0.75</v>
      </c>
      <c r="J29" s="17" t="s">
        <v>76</v>
      </c>
    </row>
    <row r="30" spans="3:13" ht="36" x14ac:dyDescent="0.25">
      <c r="C30" s="14" t="s">
        <v>77</v>
      </c>
      <c r="D30" s="15" t="s">
        <v>12</v>
      </c>
      <c r="E30" s="31">
        <v>0.1</v>
      </c>
      <c r="F30" s="31">
        <v>0.1</v>
      </c>
      <c r="G30" s="31">
        <v>0.1</v>
      </c>
      <c r="H30" s="31">
        <v>0.1</v>
      </c>
      <c r="J30" s="17" t="s">
        <v>78</v>
      </c>
    </row>
    <row r="31" spans="3:13" ht="24" x14ac:dyDescent="0.25">
      <c r="C31" s="14" t="s">
        <v>79</v>
      </c>
      <c r="D31" s="15" t="s">
        <v>12</v>
      </c>
      <c r="E31" s="31">
        <v>0.05</v>
      </c>
      <c r="F31" s="31">
        <v>0.05</v>
      </c>
      <c r="G31" s="31">
        <v>0.05</v>
      </c>
      <c r="H31" s="31">
        <v>0.05</v>
      </c>
      <c r="J31" s="17" t="s">
        <v>80</v>
      </c>
    </row>
    <row r="32" spans="3:13" x14ac:dyDescent="0.25">
      <c r="C32" s="14" t="s">
        <v>81</v>
      </c>
      <c r="D32" s="15" t="s">
        <v>12</v>
      </c>
      <c r="E32" s="29">
        <f>'08 Scenarios'!E51</f>
        <v>0.18</v>
      </c>
      <c r="F32" s="29">
        <f>'08 Scenarios'!F51</f>
        <v>0.18</v>
      </c>
      <c r="G32" s="29">
        <f>'08 Scenarios'!G51</f>
        <v>0.18</v>
      </c>
      <c r="H32" s="29">
        <f>'08 Scenarios'!H51</f>
        <v>0.18</v>
      </c>
      <c r="J32" s="17" t="s">
        <v>82</v>
      </c>
    </row>
    <row r="34" spans="4:4" x14ac:dyDescent="0.25">
      <c r="D34" s="34"/>
    </row>
    <row r="35" spans="4:4" x14ac:dyDescent="0.25">
      <c r="D35" s="34"/>
    </row>
  </sheetData>
  <conditionalFormatting sqref="E6:H35">
    <cfRule type="expression" dxfId="15" priority="2">
      <formula>E6="PASS"</formula>
    </cfRule>
    <cfRule type="expression" dxfId="14" priority="3">
      <formula>OR(E6="NOT MET",E6="CHECK",E6="ERROR",E6="OVER CAP",E6="REVIEW (&gt;60%)")</formula>
    </cfRule>
  </conditionalFormatting>
  <pageMargins left="0.4" right="0.4" top="0.5" bottom="0.5" header="0.511811023622047" footer="0.51180555555555596"/>
  <pageSetup paperSize="9" fitToHeight="0" orientation="landscape" horizontalDpi="300" verticalDpi="300" r:id="rId1"/>
  <headerFooter>
    <oddFooter>&amp;C&amp;8 &amp;A  ·  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C2:J25"/>
  <sheetViews>
    <sheetView showGridLines="0" zoomScale="110" zoomScaleNormal="110" workbookViewId="0">
      <pane xSplit="4" ySplit="5" topLeftCell="E6" activePane="bottomRight" state="frozen"/>
      <selection activeCell="H59" sqref="H59"/>
      <selection pane="topRight" activeCell="H59" sqref="H59"/>
      <selection pane="bottomLeft" activeCell="H59" sqref="H59"/>
      <selection pane="bottomRight" activeCell="J35" sqref="J35"/>
    </sheetView>
  </sheetViews>
  <sheetFormatPr defaultColWidth="8.7109375" defaultRowHeight="15" x14ac:dyDescent="0.25"/>
  <cols>
    <col min="1" max="2" width="2" customWidth="1"/>
    <col min="3" max="3" width="60" customWidth="1"/>
    <col min="4" max="4" width="13" customWidth="1"/>
    <col min="5" max="8" width="15.42578125" customWidth="1"/>
    <col min="9" max="9" width="2" customWidth="1"/>
    <col min="10" max="10" width="147.42578125" style="69" bestFit="1" customWidth="1"/>
    <col min="11" max="13" width="9" customWidth="1"/>
  </cols>
  <sheetData>
    <row r="2" spans="3:10" ht="19.5" x14ac:dyDescent="0.25">
      <c r="C2" s="1" t="s">
        <v>83</v>
      </c>
      <c r="D2" s="2"/>
      <c r="E2" s="2"/>
      <c r="F2" s="2"/>
      <c r="G2" s="2"/>
      <c r="H2" s="2"/>
      <c r="I2" s="2"/>
      <c r="J2" s="70"/>
    </row>
    <row r="3" spans="3:10" x14ac:dyDescent="0.25">
      <c r="C3" s="4" t="s">
        <v>84</v>
      </c>
    </row>
    <row r="5" spans="3:10" x14ac:dyDescent="0.25">
      <c r="C5" s="6" t="s">
        <v>4</v>
      </c>
      <c r="D5" s="7" t="s">
        <v>5</v>
      </c>
      <c r="E5" s="7">
        <v>2027</v>
      </c>
      <c r="F5" s="7">
        <v>2028</v>
      </c>
      <c r="G5" s="7">
        <v>2029</v>
      </c>
      <c r="H5" s="7">
        <v>2030</v>
      </c>
      <c r="J5" s="71" t="s">
        <v>6</v>
      </c>
    </row>
    <row r="7" spans="3:10" x14ac:dyDescent="0.25">
      <c r="C7" s="8" t="s">
        <v>85</v>
      </c>
      <c r="D7" s="8"/>
      <c r="E7" s="8"/>
      <c r="F7" s="8"/>
      <c r="G7" s="8"/>
      <c r="H7" s="8"/>
      <c r="J7" s="8"/>
    </row>
    <row r="8" spans="3:10" x14ac:dyDescent="0.25">
      <c r="C8" s="14" t="s">
        <v>86</v>
      </c>
      <c r="D8" s="15" t="s">
        <v>12</v>
      </c>
      <c r="E8" s="31">
        <v>0.1</v>
      </c>
      <c r="F8" s="31">
        <v>0.1</v>
      </c>
      <c r="G8" s="31">
        <v>0.1</v>
      </c>
      <c r="H8" s="31">
        <v>0.1</v>
      </c>
      <c r="J8" s="72" t="s">
        <v>87</v>
      </c>
    </row>
    <row r="9" spans="3:10" x14ac:dyDescent="0.25">
      <c r="C9" s="14" t="s">
        <v>88</v>
      </c>
      <c r="D9" s="15" t="s">
        <v>12</v>
      </c>
      <c r="E9" s="31">
        <v>0.25</v>
      </c>
      <c r="F9" s="31">
        <v>0.25</v>
      </c>
      <c r="G9" s="31">
        <v>0.25</v>
      </c>
      <c r="H9" s="31">
        <v>0.25</v>
      </c>
      <c r="J9" s="72" t="s">
        <v>89</v>
      </c>
    </row>
    <row r="10" spans="3:10" x14ac:dyDescent="0.25">
      <c r="C10" s="14" t="s">
        <v>90</v>
      </c>
      <c r="D10" s="15" t="s">
        <v>12</v>
      </c>
      <c r="E10" s="31">
        <v>0.25</v>
      </c>
      <c r="F10" s="31">
        <v>0.25</v>
      </c>
      <c r="G10" s="31">
        <v>0.25</v>
      </c>
      <c r="H10" s="31">
        <v>0.25</v>
      </c>
      <c r="J10" s="72" t="s">
        <v>91</v>
      </c>
    </row>
    <row r="11" spans="3:10" x14ac:dyDescent="0.25">
      <c r="C11" s="14" t="s">
        <v>383</v>
      </c>
      <c r="D11" s="15" t="s">
        <v>9</v>
      </c>
      <c r="E11" s="74">
        <v>300</v>
      </c>
      <c r="F11" s="74">
        <v>300</v>
      </c>
      <c r="G11" s="74">
        <v>300</v>
      </c>
      <c r="H11" s="74">
        <v>300</v>
      </c>
      <c r="J11" s="72" t="s">
        <v>384</v>
      </c>
    </row>
    <row r="14" spans="3:10" x14ac:dyDescent="0.25">
      <c r="C14" s="8" t="s">
        <v>92</v>
      </c>
      <c r="D14" s="8"/>
      <c r="E14" s="8"/>
      <c r="F14" s="8"/>
      <c r="G14" s="8"/>
      <c r="H14" s="8"/>
      <c r="J14" s="8"/>
    </row>
    <row r="15" spans="3:10" x14ac:dyDescent="0.25">
      <c r="C15" s="14" t="s">
        <v>93</v>
      </c>
      <c r="D15" s="15" t="s">
        <v>9</v>
      </c>
      <c r="E15" s="30">
        <v>1000</v>
      </c>
      <c r="F15" s="30">
        <v>1250</v>
      </c>
      <c r="G15" s="30">
        <v>1250</v>
      </c>
      <c r="H15" s="30">
        <v>1250</v>
      </c>
      <c r="J15" s="72" t="s">
        <v>94</v>
      </c>
    </row>
    <row r="16" spans="3:10" x14ac:dyDescent="0.25">
      <c r="C16" s="14" t="s">
        <v>95</v>
      </c>
      <c r="D16" s="15" t="s">
        <v>12</v>
      </c>
      <c r="E16" s="31">
        <v>0.15</v>
      </c>
      <c r="F16" s="31">
        <v>0.4</v>
      </c>
      <c r="G16" s="31">
        <v>0.5</v>
      </c>
      <c r="H16" s="31">
        <v>0.5</v>
      </c>
      <c r="J16" s="72" t="s">
        <v>96</v>
      </c>
    </row>
    <row r="18" spans="3:10" x14ac:dyDescent="0.25">
      <c r="C18" s="8" t="s">
        <v>97</v>
      </c>
      <c r="D18" s="8"/>
      <c r="E18" s="8"/>
      <c r="F18" s="8"/>
      <c r="G18" s="8"/>
      <c r="H18" s="8"/>
      <c r="J18" s="8"/>
    </row>
    <row r="19" spans="3:10" x14ac:dyDescent="0.25">
      <c r="C19" s="14" t="s">
        <v>98</v>
      </c>
      <c r="D19" s="15" t="s">
        <v>12</v>
      </c>
      <c r="E19" s="31">
        <v>2.5000000000000001E-2</v>
      </c>
      <c r="F19" s="31">
        <v>2.5000000000000001E-2</v>
      </c>
      <c r="G19" s="31">
        <v>2.5000000000000001E-2</v>
      </c>
      <c r="H19" s="31">
        <v>2.5000000000000001E-2</v>
      </c>
      <c r="J19" s="72" t="s">
        <v>99</v>
      </c>
    </row>
    <row r="22" spans="3:10" x14ac:dyDescent="0.25">
      <c r="C22" s="8" t="s">
        <v>100</v>
      </c>
      <c r="D22" s="8"/>
      <c r="E22" s="8"/>
      <c r="F22" s="8"/>
      <c r="G22" s="8"/>
      <c r="H22" s="8"/>
      <c r="J22" s="8"/>
    </row>
    <row r="23" spans="3:10" x14ac:dyDescent="0.25">
      <c r="C23" s="14" t="s">
        <v>101</v>
      </c>
      <c r="D23" s="15" t="s">
        <v>102</v>
      </c>
      <c r="E23" s="25">
        <v>10</v>
      </c>
      <c r="F23" s="25">
        <v>80</v>
      </c>
      <c r="G23" s="25">
        <v>200</v>
      </c>
      <c r="H23" s="25">
        <v>400</v>
      </c>
      <c r="J23" s="72" t="s">
        <v>103</v>
      </c>
    </row>
    <row r="24" spans="3:10" x14ac:dyDescent="0.25">
      <c r="C24" s="14" t="s">
        <v>104</v>
      </c>
      <c r="D24" s="15" t="s">
        <v>9</v>
      </c>
      <c r="E24" s="30">
        <v>1500</v>
      </c>
      <c r="F24" s="30">
        <v>1500</v>
      </c>
      <c r="G24" s="30">
        <v>1500</v>
      </c>
      <c r="H24" s="30">
        <v>1500</v>
      </c>
      <c r="J24" s="72" t="s">
        <v>105</v>
      </c>
    </row>
    <row r="25" spans="3:10" x14ac:dyDescent="0.25">
      <c r="C25" s="14" t="s">
        <v>106</v>
      </c>
      <c r="D25" s="15" t="s">
        <v>12</v>
      </c>
      <c r="E25" s="31">
        <v>0.02</v>
      </c>
      <c r="F25" s="31">
        <v>0.02</v>
      </c>
      <c r="G25" s="31">
        <v>0.02</v>
      </c>
      <c r="H25" s="31">
        <v>0.02</v>
      </c>
      <c r="J25" s="72" t="s">
        <v>107</v>
      </c>
    </row>
  </sheetData>
  <conditionalFormatting sqref="E6:H25">
    <cfRule type="expression" dxfId="13" priority="1">
      <formula>E6="PASS"</formula>
    </cfRule>
    <cfRule type="expression" dxfId="12" priority="2">
      <formula>OR(E6="NOT MET",E6="CHECK",E6="ERROR",E6="OVER CAP",E6="REVIEW (&gt;60%)")</formula>
    </cfRule>
  </conditionalFormatting>
  <pageMargins left="0.4" right="0.4" top="0.5" bottom="0.5" header="0.511811023622047" footer="0.51180555555555596"/>
  <pageSetup paperSize="9" fitToHeight="0" orientation="landscape" horizontalDpi="300" verticalDpi="300"/>
  <headerFooter>
    <oddFooter>&amp;C&amp;8 &amp;A  ·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  <pageSetUpPr fitToPage="1"/>
  </sheetPr>
  <dimension ref="C2:K44"/>
  <sheetViews>
    <sheetView showGridLines="0" zoomScale="110" zoomScaleNormal="110" workbookViewId="0">
      <pane xSplit="4" ySplit="5" topLeftCell="E20" activePane="bottomRight" state="frozen"/>
      <selection activeCell="H59" sqref="H59"/>
      <selection pane="topRight" activeCell="H59" sqref="H59"/>
      <selection pane="bottomLeft" activeCell="H59" sqref="H59"/>
      <selection pane="bottomRight" activeCell="H24" sqref="H24"/>
    </sheetView>
  </sheetViews>
  <sheetFormatPr defaultColWidth="8.7109375" defaultRowHeight="15" x14ac:dyDescent="0.25"/>
  <cols>
    <col min="1" max="2" width="2" customWidth="1"/>
    <col min="3" max="3" width="64.7109375" customWidth="1"/>
    <col min="4" max="4" width="13" customWidth="1"/>
    <col min="5" max="8" width="15.42578125" customWidth="1"/>
    <col min="9" max="9" width="2" customWidth="1"/>
    <col min="10" max="10" width="107.85546875" style="40" customWidth="1"/>
    <col min="11" max="13" width="9" customWidth="1"/>
  </cols>
  <sheetData>
    <row r="2" spans="3:11" ht="19.5" x14ac:dyDescent="0.25">
      <c r="C2" s="1" t="s">
        <v>108</v>
      </c>
      <c r="D2" s="2"/>
      <c r="E2" s="2"/>
      <c r="F2" s="2"/>
      <c r="G2" s="2"/>
      <c r="H2" s="2"/>
      <c r="I2" s="2"/>
      <c r="J2" s="66"/>
    </row>
    <row r="3" spans="3:11" x14ac:dyDescent="0.25">
      <c r="C3" s="4" t="s">
        <v>109</v>
      </c>
    </row>
    <row r="5" spans="3:11" x14ac:dyDescent="0.25">
      <c r="C5" s="6" t="s">
        <v>4</v>
      </c>
      <c r="D5" s="7" t="s">
        <v>5</v>
      </c>
      <c r="E5" s="7">
        <v>2027</v>
      </c>
      <c r="F5" s="7">
        <v>2028</v>
      </c>
      <c r="G5" s="7">
        <v>2029</v>
      </c>
      <c r="H5" s="7">
        <v>2030</v>
      </c>
      <c r="J5" s="67" t="s">
        <v>6</v>
      </c>
    </row>
    <row r="6" spans="3:11" x14ac:dyDescent="0.25">
      <c r="J6" s="35"/>
    </row>
    <row r="7" spans="3:11" x14ac:dyDescent="0.25">
      <c r="C7" s="8" t="s">
        <v>110</v>
      </c>
      <c r="D7" s="8"/>
      <c r="E7" s="8"/>
      <c r="F7" s="8"/>
      <c r="G7" s="8"/>
      <c r="H7" s="8"/>
      <c r="J7" s="68"/>
    </row>
    <row r="8" spans="3:11" x14ac:dyDescent="0.25">
      <c r="C8" s="14" t="s">
        <v>111</v>
      </c>
      <c r="D8" s="15" t="s">
        <v>112</v>
      </c>
      <c r="E8" s="36">
        <v>237</v>
      </c>
      <c r="F8" s="36">
        <v>237</v>
      </c>
      <c r="G8" s="36">
        <v>237</v>
      </c>
      <c r="H8" s="36">
        <v>237</v>
      </c>
      <c r="J8" s="17" t="s">
        <v>113</v>
      </c>
    </row>
    <row r="9" spans="3:11" x14ac:dyDescent="0.25">
      <c r="C9" s="14" t="s">
        <v>114</v>
      </c>
      <c r="D9" s="15" t="s">
        <v>112</v>
      </c>
      <c r="E9" s="26">
        <v>30</v>
      </c>
      <c r="F9" s="26">
        <v>30</v>
      </c>
      <c r="G9" s="26">
        <v>30</v>
      </c>
      <c r="H9" s="26">
        <v>30</v>
      </c>
      <c r="J9" s="17"/>
    </row>
    <row r="10" spans="3:11" x14ac:dyDescent="0.25">
      <c r="C10" s="14" t="s">
        <v>115</v>
      </c>
      <c r="D10" s="15" t="s">
        <v>116</v>
      </c>
      <c r="E10" s="21">
        <f>ROUND(E8/E9*E14,0)</f>
        <v>0</v>
      </c>
      <c r="F10" s="21">
        <f>ROUND(F8/F9*F14,0)</f>
        <v>79</v>
      </c>
      <c r="G10" s="21">
        <f>ROUND(G8/G9*G14,0)</f>
        <v>119</v>
      </c>
      <c r="H10" s="21">
        <f>ROUND(H8/H9*H14,0)</f>
        <v>158</v>
      </c>
      <c r="J10" s="17"/>
    </row>
    <row r="11" spans="3:11" x14ac:dyDescent="0.25">
      <c r="C11" s="14" t="s">
        <v>117</v>
      </c>
      <c r="D11" s="15" t="s">
        <v>9</v>
      </c>
      <c r="E11" s="37">
        <f>E10*E21</f>
        <v>0</v>
      </c>
      <c r="F11" s="37">
        <f>F10*F21</f>
        <v>19750</v>
      </c>
      <c r="G11" s="37">
        <f>G10*G21</f>
        <v>29750</v>
      </c>
      <c r="H11" s="37">
        <f>H10*H21</f>
        <v>39500</v>
      </c>
      <c r="J11" s="17" t="s">
        <v>118</v>
      </c>
    </row>
    <row r="12" spans="3:11" x14ac:dyDescent="0.25">
      <c r="C12" s="8" t="s">
        <v>119</v>
      </c>
      <c r="D12" s="8"/>
      <c r="E12" s="8"/>
      <c r="F12" s="8"/>
      <c r="G12" s="8"/>
      <c r="H12" s="8"/>
      <c r="J12" s="38" t="s">
        <v>120</v>
      </c>
    </row>
    <row r="13" spans="3:11" ht="24" x14ac:dyDescent="0.25">
      <c r="C13" s="14" t="s">
        <v>121</v>
      </c>
      <c r="D13" s="15" t="s">
        <v>122</v>
      </c>
      <c r="E13" s="39">
        <v>4</v>
      </c>
      <c r="F13" s="39">
        <v>8</v>
      </c>
      <c r="G13" s="39">
        <v>16</v>
      </c>
      <c r="H13" s="39">
        <v>20</v>
      </c>
      <c r="J13" s="17" t="s">
        <v>123</v>
      </c>
      <c r="K13" s="40"/>
    </row>
    <row r="14" spans="3:11" x14ac:dyDescent="0.25">
      <c r="C14" s="14" t="s">
        <v>124</v>
      </c>
      <c r="D14" s="15" t="s">
        <v>122</v>
      </c>
      <c r="E14" s="41">
        <f>'08 Scenarios'!E27</f>
        <v>0</v>
      </c>
      <c r="F14" s="41">
        <f>'08 Scenarios'!F27</f>
        <v>10</v>
      </c>
      <c r="G14" s="41">
        <f>'08 Scenarios'!G27</f>
        <v>15</v>
      </c>
      <c r="H14" s="41">
        <f>'08 Scenarios'!H27</f>
        <v>20</v>
      </c>
      <c r="J14" s="17" t="s">
        <v>125</v>
      </c>
    </row>
    <row r="15" spans="3:11" x14ac:dyDescent="0.25">
      <c r="C15" s="14" t="s">
        <v>126</v>
      </c>
      <c r="D15" s="15" t="s">
        <v>122</v>
      </c>
      <c r="E15" s="41">
        <f>ROUND('01 Market'!E27*'01 Market'!E16/5,0)</f>
        <v>7</v>
      </c>
      <c r="F15" s="41">
        <f>ROUND('01 Market'!F27*'01 Market'!F16/5,0)</f>
        <v>26</v>
      </c>
      <c r="G15" s="41">
        <f>ROUND('01 Market'!G27*'01 Market'!G16/5,0)</f>
        <v>60</v>
      </c>
      <c r="H15" s="41">
        <f>ROUND('01 Market'!H27*'01 Market'!H16/5,0)</f>
        <v>90</v>
      </c>
      <c r="J15" s="17" t="s">
        <v>127</v>
      </c>
    </row>
    <row r="16" spans="3:11" ht="24" x14ac:dyDescent="0.25">
      <c r="C16" s="14" t="s">
        <v>128</v>
      </c>
      <c r="D16" s="15" t="s">
        <v>122</v>
      </c>
      <c r="E16" s="39">
        <v>8</v>
      </c>
      <c r="F16" s="39">
        <v>8</v>
      </c>
      <c r="G16" s="39">
        <v>12</v>
      </c>
      <c r="H16" s="39">
        <v>12</v>
      </c>
      <c r="J16" s="17" t="s">
        <v>129</v>
      </c>
    </row>
    <row r="17" spans="3:10" x14ac:dyDescent="0.25">
      <c r="C17" s="14" t="s">
        <v>130</v>
      </c>
      <c r="D17" s="15" t="s">
        <v>131</v>
      </c>
      <c r="E17" s="39">
        <v>2</v>
      </c>
      <c r="F17" s="39">
        <v>2</v>
      </c>
      <c r="G17" s="39">
        <v>3</v>
      </c>
      <c r="H17" s="39">
        <v>3</v>
      </c>
      <c r="J17" s="17" t="s">
        <v>132</v>
      </c>
    </row>
    <row r="18" spans="3:10" x14ac:dyDescent="0.25">
      <c r="C18" s="8" t="s">
        <v>133</v>
      </c>
      <c r="D18" s="8"/>
      <c r="E18" s="8"/>
      <c r="F18" s="8"/>
      <c r="G18" s="8"/>
      <c r="H18" s="8"/>
      <c r="J18" s="38" t="s">
        <v>134</v>
      </c>
    </row>
    <row r="19" spans="3:10" x14ac:dyDescent="0.25">
      <c r="C19" s="14" t="s">
        <v>135</v>
      </c>
      <c r="D19" s="15" t="s">
        <v>9</v>
      </c>
      <c r="E19" s="30">
        <v>13000</v>
      </c>
      <c r="F19" s="30">
        <v>13000</v>
      </c>
      <c r="G19" s="30">
        <v>13000</v>
      </c>
      <c r="H19" s="30">
        <v>13000</v>
      </c>
      <c r="J19" s="17" t="s">
        <v>136</v>
      </c>
    </row>
    <row r="20" spans="3:10" x14ac:dyDescent="0.25">
      <c r="C20" s="14" t="s">
        <v>137</v>
      </c>
      <c r="D20" s="15" t="s">
        <v>9</v>
      </c>
      <c r="E20" s="30">
        <v>10010</v>
      </c>
      <c r="F20" s="30">
        <v>10010</v>
      </c>
      <c r="G20" s="30">
        <v>10010</v>
      </c>
      <c r="H20" s="30">
        <v>10010</v>
      </c>
      <c r="J20" s="17" t="s">
        <v>138</v>
      </c>
    </row>
    <row r="21" spans="3:10" x14ac:dyDescent="0.25">
      <c r="C21" s="14" t="s">
        <v>139</v>
      </c>
      <c r="D21" s="15" t="s">
        <v>9</v>
      </c>
      <c r="E21" s="30">
        <v>250</v>
      </c>
      <c r="F21" s="30">
        <v>250</v>
      </c>
      <c r="G21" s="30">
        <v>250</v>
      </c>
      <c r="H21" s="30">
        <v>250</v>
      </c>
      <c r="J21" s="17" t="s">
        <v>140</v>
      </c>
    </row>
    <row r="22" spans="3:10" x14ac:dyDescent="0.25">
      <c r="C22" s="14" t="s">
        <v>141</v>
      </c>
      <c r="D22" s="15" t="s">
        <v>9</v>
      </c>
      <c r="E22" s="30">
        <v>10010</v>
      </c>
      <c r="F22" s="30">
        <v>10010</v>
      </c>
      <c r="G22" s="30">
        <v>10010</v>
      </c>
      <c r="H22" s="30">
        <v>10010</v>
      </c>
      <c r="J22" s="17" t="s">
        <v>138</v>
      </c>
    </row>
    <row r="23" spans="3:10" x14ac:dyDescent="0.25">
      <c r="C23" s="14" t="s">
        <v>142</v>
      </c>
      <c r="D23" s="15" t="s">
        <v>9</v>
      </c>
      <c r="E23" s="30">
        <v>10010</v>
      </c>
      <c r="F23" s="30">
        <v>10010</v>
      </c>
      <c r="G23" s="30">
        <v>10010</v>
      </c>
      <c r="H23" s="30">
        <v>10010</v>
      </c>
      <c r="J23" s="17" t="s">
        <v>138</v>
      </c>
    </row>
    <row r="24" spans="3:10" ht="60" x14ac:dyDescent="0.25">
      <c r="C24" s="14" t="s">
        <v>143</v>
      </c>
      <c r="D24" s="15" t="s">
        <v>144</v>
      </c>
      <c r="E24" s="30">
        <v>200</v>
      </c>
      <c r="F24" s="30">
        <v>200</v>
      </c>
      <c r="G24" s="30">
        <v>200</v>
      </c>
      <c r="H24" s="30">
        <v>200</v>
      </c>
      <c r="J24" s="17" t="s">
        <v>145</v>
      </c>
    </row>
    <row r="25" spans="3:10" x14ac:dyDescent="0.25">
      <c r="C25" s="8" t="s">
        <v>146</v>
      </c>
      <c r="D25" s="8"/>
      <c r="E25" s="8"/>
      <c r="F25" s="8"/>
      <c r="G25" s="8"/>
      <c r="H25" s="8"/>
      <c r="J25" s="68"/>
    </row>
    <row r="26" spans="3:10" ht="36" x14ac:dyDescent="0.25">
      <c r="C26" s="14" t="s">
        <v>147</v>
      </c>
      <c r="D26" s="15" t="s">
        <v>9</v>
      </c>
      <c r="E26" s="30">
        <v>17000</v>
      </c>
      <c r="F26" s="30">
        <v>17000</v>
      </c>
      <c r="G26" s="30">
        <v>17000</v>
      </c>
      <c r="H26" s="30">
        <v>17000</v>
      </c>
      <c r="J26" s="17" t="s">
        <v>148</v>
      </c>
    </row>
    <row r="27" spans="3:10" ht="24" x14ac:dyDescent="0.25">
      <c r="C27" s="14" t="s">
        <v>149</v>
      </c>
      <c r="D27" s="15" t="s">
        <v>9</v>
      </c>
      <c r="E27" s="42">
        <f>10*E8</f>
        <v>2370</v>
      </c>
      <c r="F27" s="42">
        <f>10*F8</f>
        <v>2370</v>
      </c>
      <c r="G27" s="42">
        <f>10*G8</f>
        <v>2370</v>
      </c>
      <c r="H27" s="42">
        <f>10*H8</f>
        <v>2370</v>
      </c>
      <c r="J27" s="17" t="s">
        <v>150</v>
      </c>
    </row>
    <row r="28" spans="3:10" ht="24" x14ac:dyDescent="0.25">
      <c r="C28" s="14" t="s">
        <v>151</v>
      </c>
      <c r="D28" s="15" t="s">
        <v>9</v>
      </c>
      <c r="E28" s="30">
        <v>6900</v>
      </c>
      <c r="F28" s="30">
        <v>6900</v>
      </c>
      <c r="G28" s="30">
        <v>6900</v>
      </c>
      <c r="H28" s="30">
        <v>6900</v>
      </c>
      <c r="J28" s="17" t="s">
        <v>152</v>
      </c>
    </row>
    <row r="29" spans="3:10" ht="36" x14ac:dyDescent="0.25">
      <c r="C29" s="14" t="s">
        <v>153</v>
      </c>
      <c r="D29" s="15" t="s">
        <v>9</v>
      </c>
      <c r="E29" s="43">
        <f>1545+3*'02 Fee Schedule'!E23</f>
        <v>1575</v>
      </c>
      <c r="F29" s="43">
        <f>1545+3*'02 Fee Schedule'!F23</f>
        <v>1785</v>
      </c>
      <c r="G29" s="43">
        <f>1545+3*'02 Fee Schedule'!G23</f>
        <v>2145</v>
      </c>
      <c r="H29" s="43">
        <f>1545+3*'02 Fee Schedule'!H23</f>
        <v>2745</v>
      </c>
      <c r="J29" s="17" t="s">
        <v>154</v>
      </c>
    </row>
    <row r="30" spans="3:10" ht="24" x14ac:dyDescent="0.25">
      <c r="C30" s="14" t="s">
        <v>155</v>
      </c>
      <c r="D30" s="15" t="s">
        <v>9</v>
      </c>
      <c r="E30" s="42">
        <f>E31+E32+E33</f>
        <v>12400</v>
      </c>
      <c r="F30" s="42">
        <f>F31+F32+F33</f>
        <v>19950</v>
      </c>
      <c r="G30" s="42">
        <f>G31+G32+G33</f>
        <v>30675</v>
      </c>
      <c r="H30" s="42">
        <f>H31+H32+H33</f>
        <v>23475</v>
      </c>
      <c r="J30" s="17" t="s">
        <v>156</v>
      </c>
    </row>
    <row r="31" spans="3:10" x14ac:dyDescent="0.25">
      <c r="C31" s="14" t="s">
        <v>157</v>
      </c>
      <c r="D31" s="15" t="s">
        <v>9</v>
      </c>
      <c r="E31" s="42">
        <f>(E13+E14+E15+E16)*600</f>
        <v>11400</v>
      </c>
      <c r="F31" s="42">
        <f>((F13+F14+F15+F16)-(E13+E14+E15+E16))*600</f>
        <v>19800</v>
      </c>
      <c r="G31" s="42">
        <f>((G13+G14+G15+G16)-(F13+F14+F15+F16))*600</f>
        <v>30600</v>
      </c>
      <c r="H31" s="42">
        <f>((H13+H14+H15+H16)-(G13+G14+G15+G16))*600</f>
        <v>23400</v>
      </c>
      <c r="J31" s="17"/>
    </row>
    <row r="32" spans="3:10" x14ac:dyDescent="0.25">
      <c r="C32" s="14" t="s">
        <v>158</v>
      </c>
      <c r="D32" s="15" t="s">
        <v>9</v>
      </c>
      <c r="E32" s="42">
        <f>E14*15</f>
        <v>0</v>
      </c>
      <c r="F32" s="42">
        <f>(F14-E14)*15</f>
        <v>150</v>
      </c>
      <c r="G32" s="42">
        <f>(G14-F14)*15</f>
        <v>75</v>
      </c>
      <c r="H32" s="42">
        <f>(H14-G14)*15</f>
        <v>75</v>
      </c>
      <c r="J32" s="17"/>
    </row>
    <row r="33" spans="3:10" x14ac:dyDescent="0.25">
      <c r="C33" s="14" t="s">
        <v>159</v>
      </c>
      <c r="D33" s="15" t="s">
        <v>9</v>
      </c>
      <c r="E33" s="30">
        <v>1000</v>
      </c>
      <c r="F33" s="42"/>
      <c r="G33" s="42"/>
      <c r="H33" s="42"/>
      <c r="J33" s="17" t="s">
        <v>160</v>
      </c>
    </row>
    <row r="34" spans="3:10" x14ac:dyDescent="0.25">
      <c r="C34" s="14" t="s">
        <v>161</v>
      </c>
      <c r="D34" s="15" t="s">
        <v>35</v>
      </c>
      <c r="E34" s="25">
        <v>3</v>
      </c>
      <c r="F34" s="25">
        <v>3</v>
      </c>
      <c r="G34" s="25">
        <v>3</v>
      </c>
      <c r="H34" s="25">
        <v>3</v>
      </c>
      <c r="J34" s="17" t="s">
        <v>162</v>
      </c>
    </row>
    <row r="35" spans="3:10" x14ac:dyDescent="0.25">
      <c r="C35" s="14" t="s">
        <v>163</v>
      </c>
      <c r="D35" s="15" t="s">
        <v>12</v>
      </c>
      <c r="E35" s="31">
        <v>0.2</v>
      </c>
      <c r="F35" s="31">
        <v>0.2</v>
      </c>
      <c r="G35" s="31">
        <v>0.2</v>
      </c>
      <c r="H35" s="31">
        <v>0.2</v>
      </c>
      <c r="J35" s="17" t="s">
        <v>164</v>
      </c>
    </row>
    <row r="36" spans="3:10" x14ac:dyDescent="0.25">
      <c r="C36" s="8" t="s">
        <v>165</v>
      </c>
      <c r="D36" s="8"/>
      <c r="E36" s="8"/>
      <c r="F36" s="8"/>
      <c r="G36" s="8"/>
      <c r="H36" s="8"/>
      <c r="J36" s="68"/>
    </row>
    <row r="37" spans="3:10" x14ac:dyDescent="0.25">
      <c r="C37" s="14" t="s">
        <v>166</v>
      </c>
      <c r="D37" s="15" t="s">
        <v>167</v>
      </c>
      <c r="E37" s="25">
        <v>30</v>
      </c>
      <c r="F37" s="25">
        <v>30</v>
      </c>
      <c r="G37" s="25">
        <v>45</v>
      </c>
      <c r="H37" s="25">
        <v>45</v>
      </c>
      <c r="J37" s="17" t="s">
        <v>168</v>
      </c>
    </row>
    <row r="38" spans="3:10" x14ac:dyDescent="0.25">
      <c r="C38" s="14" t="s">
        <v>169</v>
      </c>
      <c r="D38" s="15" t="s">
        <v>167</v>
      </c>
      <c r="E38" s="25">
        <v>7</v>
      </c>
      <c r="F38" s="25">
        <v>7</v>
      </c>
      <c r="G38" s="25">
        <v>7</v>
      </c>
      <c r="H38" s="25">
        <v>7</v>
      </c>
      <c r="J38" s="17" t="s">
        <v>170</v>
      </c>
    </row>
    <row r="39" spans="3:10" x14ac:dyDescent="0.25">
      <c r="C39" s="14" t="s">
        <v>171</v>
      </c>
      <c r="D39" s="15" t="s">
        <v>167</v>
      </c>
      <c r="E39" s="25">
        <v>30</v>
      </c>
      <c r="F39" s="25">
        <v>30</v>
      </c>
      <c r="G39" s="25">
        <v>30</v>
      </c>
      <c r="H39" s="25">
        <v>30</v>
      </c>
      <c r="J39" s="17" t="s">
        <v>172</v>
      </c>
    </row>
    <row r="40" spans="3:10" ht="24" x14ac:dyDescent="0.25">
      <c r="C40" s="14" t="s">
        <v>173</v>
      </c>
      <c r="D40" s="15" t="s">
        <v>167</v>
      </c>
      <c r="E40" s="25">
        <v>15</v>
      </c>
      <c r="F40" s="25">
        <v>15</v>
      </c>
      <c r="G40" s="25">
        <v>15</v>
      </c>
      <c r="H40" s="25">
        <v>15</v>
      </c>
      <c r="J40" s="17" t="s">
        <v>174</v>
      </c>
    </row>
    <row r="41" spans="3:10" x14ac:dyDescent="0.25">
      <c r="C41" s="8" t="s">
        <v>175</v>
      </c>
      <c r="D41" s="8"/>
      <c r="E41" s="8"/>
      <c r="F41" s="8"/>
      <c r="G41" s="8"/>
      <c r="H41" s="8"/>
      <c r="J41" s="68"/>
    </row>
    <row r="42" spans="3:10" ht="24" x14ac:dyDescent="0.25">
      <c r="C42" s="14" t="s">
        <v>176</v>
      </c>
      <c r="D42" s="15" t="s">
        <v>9</v>
      </c>
      <c r="E42" s="25">
        <v>12</v>
      </c>
      <c r="F42" s="25">
        <v>12</v>
      </c>
      <c r="G42" s="25">
        <v>12</v>
      </c>
      <c r="H42" s="25">
        <v>12</v>
      </c>
      <c r="J42" s="17" t="s">
        <v>177</v>
      </c>
    </row>
    <row r="43" spans="3:10" ht="24" x14ac:dyDescent="0.25">
      <c r="C43" s="14" t="s">
        <v>178</v>
      </c>
      <c r="D43" s="15" t="s">
        <v>9</v>
      </c>
      <c r="E43" s="25">
        <v>1</v>
      </c>
      <c r="F43" s="25">
        <v>1</v>
      </c>
      <c r="G43" s="25">
        <v>1</v>
      </c>
      <c r="H43" s="25">
        <v>1</v>
      </c>
      <c r="J43" s="17" t="s">
        <v>179</v>
      </c>
    </row>
    <row r="44" spans="3:10" ht="25.5" x14ac:dyDescent="0.25">
      <c r="C44" s="14" t="s">
        <v>180</v>
      </c>
      <c r="D44" s="15" t="s">
        <v>9</v>
      </c>
      <c r="E44" s="25">
        <v>0.4</v>
      </c>
      <c r="F44" s="25">
        <v>0.4</v>
      </c>
      <c r="G44" s="25">
        <v>0.4</v>
      </c>
      <c r="H44" s="25">
        <v>0.4</v>
      </c>
      <c r="J44" s="17" t="s">
        <v>181</v>
      </c>
    </row>
  </sheetData>
  <conditionalFormatting sqref="E6:H44">
    <cfRule type="expression" dxfId="11" priority="2">
      <formula>E6="PASS"</formula>
    </cfRule>
    <cfRule type="expression" dxfId="10" priority="3">
      <formula>OR(E6="NOT MET",E6="CHECK",E6="ERROR",E6="OVER CAP",E6="REVIEW (&gt;60%)")</formula>
    </cfRule>
  </conditionalFormatting>
  <pageMargins left="0.4" right="0.4" top="0.5" bottom="0.5" header="0.511811023622047" footer="0.51180555555555596"/>
  <pageSetup paperSize="9" fitToHeight="0" orientation="landscape" horizontalDpi="300" verticalDpi="300"/>
  <headerFooter>
    <oddFooter>&amp;C&amp;8 &amp;A  ·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A8F85"/>
    <pageSetUpPr fitToPage="1"/>
  </sheetPr>
  <dimension ref="C2:L43"/>
  <sheetViews>
    <sheetView showGridLines="0" zoomScale="110" zoomScaleNormal="110" workbookViewId="0">
      <pane xSplit="4" ySplit="5" topLeftCell="E6" activePane="bottomRight" state="frozen"/>
      <selection activeCell="H59" sqref="H59"/>
      <selection pane="topRight" activeCell="H59" sqref="H59"/>
      <selection pane="bottomLeft" activeCell="H59" sqref="H59"/>
      <selection pane="bottomRight" activeCell="J46" sqref="J46"/>
    </sheetView>
  </sheetViews>
  <sheetFormatPr defaultColWidth="8.7109375" defaultRowHeight="15" x14ac:dyDescent="0.25"/>
  <cols>
    <col min="1" max="2" width="2" customWidth="1"/>
    <col min="3" max="3" width="60" customWidth="1"/>
    <col min="4" max="4" width="13" customWidth="1"/>
    <col min="5" max="8" width="15.42578125" customWidth="1"/>
    <col min="9" max="9" width="2" customWidth="1"/>
    <col min="10" max="10" width="103" customWidth="1"/>
    <col min="11" max="13" width="9" customWidth="1"/>
  </cols>
  <sheetData>
    <row r="2" spans="3:12" ht="19.5" x14ac:dyDescent="0.25">
      <c r="C2" s="1" t="s">
        <v>182</v>
      </c>
      <c r="D2" s="2"/>
      <c r="E2" s="2"/>
      <c r="F2" s="2"/>
      <c r="G2" s="2"/>
      <c r="H2" s="2"/>
      <c r="I2" s="2"/>
      <c r="J2" s="2"/>
    </row>
    <row r="3" spans="3:12" x14ac:dyDescent="0.25">
      <c r="C3" s="4" t="s">
        <v>183</v>
      </c>
    </row>
    <row r="5" spans="3:12" x14ac:dyDescent="0.25">
      <c r="C5" s="6" t="s">
        <v>4</v>
      </c>
      <c r="D5" s="7" t="s">
        <v>5</v>
      </c>
      <c r="E5" s="7">
        <v>2027</v>
      </c>
      <c r="F5" s="7">
        <v>2028</v>
      </c>
      <c r="G5" s="7">
        <v>2029</v>
      </c>
      <c r="H5" s="7">
        <v>2030</v>
      </c>
      <c r="J5" s="6" t="s">
        <v>6</v>
      </c>
    </row>
    <row r="8" spans="3:12" x14ac:dyDescent="0.25">
      <c r="C8" s="8" t="s">
        <v>184</v>
      </c>
      <c r="D8" s="8"/>
      <c r="E8" s="8"/>
      <c r="F8" s="8"/>
      <c r="G8" s="8"/>
      <c r="H8" s="8"/>
      <c r="J8" s="8"/>
    </row>
    <row r="9" spans="3:12" x14ac:dyDescent="0.25">
      <c r="C9" s="14" t="s">
        <v>185</v>
      </c>
      <c r="D9" s="15" t="s">
        <v>55</v>
      </c>
      <c r="E9" s="44">
        <f>'01 Market'!E16</f>
        <v>60</v>
      </c>
      <c r="F9" s="44">
        <f>'01 Market'!F16</f>
        <v>213.5</v>
      </c>
      <c r="G9" s="44">
        <f>'01 Market'!G16</f>
        <v>500</v>
      </c>
      <c r="H9" s="44">
        <f>'01 Market'!H16</f>
        <v>752</v>
      </c>
      <c r="J9" s="17"/>
    </row>
    <row r="10" spans="3:12" x14ac:dyDescent="0.25">
      <c r="C10" s="10" t="s">
        <v>186</v>
      </c>
      <c r="D10" s="11" t="s">
        <v>9</v>
      </c>
      <c r="E10" s="12">
        <f>E9*'01 Market'!E24</f>
        <v>5392800</v>
      </c>
      <c r="F10" s="12">
        <f>F9*'01 Market'!F24</f>
        <v>31982300</v>
      </c>
      <c r="G10" s="12">
        <f>G9*'01 Market'!G24</f>
        <v>74900000</v>
      </c>
      <c r="H10" s="12">
        <f>H9*'01 Market'!H24</f>
        <v>112649600</v>
      </c>
      <c r="J10" s="13"/>
    </row>
    <row r="11" spans="3:12" x14ac:dyDescent="0.25">
      <c r="C11" s="14" t="s">
        <v>187</v>
      </c>
      <c r="D11" s="15" t="s">
        <v>9</v>
      </c>
      <c r="E11" s="18">
        <f>E10*'01 Market'!E27</f>
        <v>3235680</v>
      </c>
      <c r="F11" s="18">
        <f>F10*'01 Market'!F27</f>
        <v>19189380</v>
      </c>
      <c r="G11" s="18">
        <f>G10*'01 Market'!G27</f>
        <v>44940000</v>
      </c>
      <c r="H11" s="18">
        <f>H10*'01 Market'!H27</f>
        <v>67589760</v>
      </c>
      <c r="J11" s="17"/>
    </row>
    <row r="12" spans="3:12" x14ac:dyDescent="0.25">
      <c r="C12" s="14" t="s">
        <v>188</v>
      </c>
      <c r="D12" s="15" t="s">
        <v>9</v>
      </c>
      <c r="E12" s="45">
        <f>E10-E11</f>
        <v>2157120</v>
      </c>
      <c r="F12" s="45">
        <f>F10-F11</f>
        <v>12792920</v>
      </c>
      <c r="G12" s="45">
        <f>G10-G11</f>
        <v>29960000</v>
      </c>
      <c r="H12" s="45">
        <f>H10-H11</f>
        <v>45059840</v>
      </c>
      <c r="J12" s="17"/>
    </row>
    <row r="14" spans="3:12" x14ac:dyDescent="0.25">
      <c r="C14" s="8" t="s">
        <v>189</v>
      </c>
      <c r="D14" s="8"/>
      <c r="E14" s="8"/>
      <c r="F14" s="8"/>
      <c r="G14" s="8"/>
      <c r="H14" s="8"/>
      <c r="J14" s="8"/>
    </row>
    <row r="15" spans="3:12" x14ac:dyDescent="0.25">
      <c r="C15" s="14" t="s">
        <v>190</v>
      </c>
      <c r="D15" s="15" t="s">
        <v>9</v>
      </c>
      <c r="E15" s="18">
        <f>E11/(1+'01 Market'!E28)</f>
        <v>2396800</v>
      </c>
      <c r="F15" s="18">
        <f>F11/(1+'01 Market'!F28)</f>
        <v>14214355.555555554</v>
      </c>
      <c r="G15" s="18">
        <f>G11/(1+'01 Market'!G28)</f>
        <v>33288888.888888888</v>
      </c>
      <c r="H15" s="18">
        <f>H11/(1+'01 Market'!H28)</f>
        <v>50066488.888888888</v>
      </c>
      <c r="J15" s="17"/>
    </row>
    <row r="16" spans="3:12" x14ac:dyDescent="0.25">
      <c r="C16" s="14" t="s">
        <v>191</v>
      </c>
      <c r="D16" s="15" t="s">
        <v>9</v>
      </c>
      <c r="E16" s="45">
        <f>E11-E15</f>
        <v>838880</v>
      </c>
      <c r="F16" s="45">
        <f>F11-F15</f>
        <v>4975024.4444444459</v>
      </c>
      <c r="G16" s="45">
        <f>G11-G15</f>
        <v>11651111.111111112</v>
      </c>
      <c r="H16" s="45">
        <f>H11-H15</f>
        <v>17523271.111111112</v>
      </c>
      <c r="J16" s="17"/>
      <c r="L16" s="46"/>
    </row>
    <row r="17" spans="3:10" x14ac:dyDescent="0.25">
      <c r="C17" s="14" t="s">
        <v>192</v>
      </c>
      <c r="D17" s="15" t="s">
        <v>9</v>
      </c>
      <c r="E17" s="18">
        <f>E12/(1+'01 Market'!E29)</f>
        <v>1232640</v>
      </c>
      <c r="F17" s="18">
        <f>F12/(1+'01 Market'!F29)</f>
        <v>7310240</v>
      </c>
      <c r="G17" s="18">
        <f>G12/(1+'01 Market'!G29)</f>
        <v>17120000</v>
      </c>
      <c r="H17" s="18">
        <f>H12/(1+'01 Market'!H29)</f>
        <v>25748480</v>
      </c>
      <c r="J17" s="17"/>
    </row>
    <row r="18" spans="3:10" x14ac:dyDescent="0.25">
      <c r="C18" s="14" t="s">
        <v>193</v>
      </c>
      <c r="D18" s="15" t="s">
        <v>9</v>
      </c>
      <c r="E18" s="45">
        <f>E12-E17</f>
        <v>924480</v>
      </c>
      <c r="F18" s="45">
        <f>F12-F17</f>
        <v>5482680</v>
      </c>
      <c r="G18" s="45">
        <f>G12-G17</f>
        <v>12840000</v>
      </c>
      <c r="H18" s="45">
        <f>H12-H17</f>
        <v>19311360</v>
      </c>
      <c r="J18" s="17"/>
    </row>
    <row r="20" spans="3:10" x14ac:dyDescent="0.25">
      <c r="C20" s="8" t="s">
        <v>194</v>
      </c>
      <c r="D20" s="8"/>
      <c r="E20" s="8"/>
      <c r="F20" s="8"/>
      <c r="G20" s="8"/>
      <c r="H20" s="8"/>
      <c r="J20" s="8"/>
    </row>
    <row r="21" spans="3:10" ht="36" x14ac:dyDescent="0.25">
      <c r="C21" s="14" t="s">
        <v>195</v>
      </c>
      <c r="D21" s="15" t="s">
        <v>9</v>
      </c>
      <c r="E21" s="18">
        <f>E11/(1-'01 Market'!E31)</f>
        <v>3405978.9473684211</v>
      </c>
      <c r="F21" s="18">
        <f>F11/(1-'01 Market'!F31)</f>
        <v>20199347.368421055</v>
      </c>
      <c r="G21" s="18">
        <f>G11/(1-'01 Market'!G31)</f>
        <v>47305263.157894738</v>
      </c>
      <c r="H21" s="18">
        <f>H11/(1-'01 Market'!H31)</f>
        <v>71147115.789473683</v>
      </c>
      <c r="J21" s="17" t="s">
        <v>196</v>
      </c>
    </row>
    <row r="22" spans="3:10" ht="24" x14ac:dyDescent="0.25">
      <c r="C22" s="14" t="s">
        <v>197</v>
      </c>
      <c r="D22" s="15" t="s">
        <v>9</v>
      </c>
      <c r="E22" s="18">
        <f>E12/(1-'01 Market'!E30)</f>
        <v>2396800</v>
      </c>
      <c r="F22" s="18">
        <f>F12/(1-'01 Market'!F30)</f>
        <v>14214355.555555556</v>
      </c>
      <c r="G22" s="18">
        <f>G12/(1-'01 Market'!G30)</f>
        <v>33288888.888888888</v>
      </c>
      <c r="H22" s="18">
        <f>H12/(1-'01 Market'!H30)</f>
        <v>50066488.888888888</v>
      </c>
      <c r="J22" s="17" t="s">
        <v>198</v>
      </c>
    </row>
    <row r="23" spans="3:10" x14ac:dyDescent="0.25">
      <c r="C23" s="14" t="s">
        <v>199</v>
      </c>
      <c r="D23" s="15" t="s">
        <v>9</v>
      </c>
      <c r="E23" s="18">
        <f>E22/(1-'01 Market'!E32)</f>
        <v>2922926.8292682925</v>
      </c>
      <c r="F23" s="18">
        <f>F22/(1-'01 Market'!F32)</f>
        <v>17334579.945799459</v>
      </c>
      <c r="G23" s="18">
        <f>G22/(1-'01 Market'!G32)</f>
        <v>40596205.962059617</v>
      </c>
      <c r="H23" s="18">
        <f>H22/(1-'01 Market'!H32)</f>
        <v>61056693.766937666</v>
      </c>
      <c r="J23" s="17"/>
    </row>
    <row r="24" spans="3:10" ht="24" x14ac:dyDescent="0.25">
      <c r="C24" s="10" t="s">
        <v>200</v>
      </c>
      <c r="D24" s="11" t="s">
        <v>9</v>
      </c>
      <c r="E24" s="32">
        <f>E23-E22</f>
        <v>526126.82926829252</v>
      </c>
      <c r="F24" s="32">
        <f>F23-F22</f>
        <v>3120224.3902439028</v>
      </c>
      <c r="G24" s="32">
        <f>G23-G22</f>
        <v>7307317.073170729</v>
      </c>
      <c r="H24" s="32">
        <f>H23-H22</f>
        <v>10990204.878048778</v>
      </c>
      <c r="J24" s="13" t="s">
        <v>201</v>
      </c>
    </row>
    <row r="25" spans="3:10" ht="36" x14ac:dyDescent="0.25">
      <c r="C25" s="14" t="s">
        <v>202</v>
      </c>
      <c r="D25" s="15" t="s">
        <v>9</v>
      </c>
      <c r="E25" s="45">
        <f>(E21-E11)+(E22-E12)</f>
        <v>409978.94736842113</v>
      </c>
      <c r="F25" s="45">
        <f>(F21-F11)+(F22-F12)</f>
        <v>2431402.9239766113</v>
      </c>
      <c r="G25" s="45">
        <f>(G21-G11)+(G22-G12)</f>
        <v>5694152.0467836261</v>
      </c>
      <c r="H25" s="45">
        <f>(H21-H11)+(H22-H12)</f>
        <v>8564004.6783625707</v>
      </c>
      <c r="J25" s="17" t="s">
        <v>203</v>
      </c>
    </row>
    <row r="26" spans="3:10" x14ac:dyDescent="0.25">
      <c r="C26" s="14" t="s">
        <v>204</v>
      </c>
      <c r="D26" s="15" t="s">
        <v>9</v>
      </c>
      <c r="E26" s="45">
        <f t="shared" ref="E26:H27" si="0">E21-E11</f>
        <v>170298.94736842113</v>
      </c>
      <c r="F26" s="45">
        <f t="shared" si="0"/>
        <v>1009967.3684210554</v>
      </c>
      <c r="G26" s="45">
        <f t="shared" si="0"/>
        <v>2365263.157894738</v>
      </c>
      <c r="H26" s="45">
        <f t="shared" si="0"/>
        <v>3557355.7894736826</v>
      </c>
      <c r="J26" s="17" t="s">
        <v>205</v>
      </c>
    </row>
    <row r="27" spans="3:10" x14ac:dyDescent="0.25">
      <c r="C27" s="14" t="s">
        <v>206</v>
      </c>
      <c r="D27" s="15" t="s">
        <v>9</v>
      </c>
      <c r="E27" s="45">
        <f t="shared" si="0"/>
        <v>239680</v>
      </c>
      <c r="F27" s="45">
        <f t="shared" si="0"/>
        <v>1421435.555555556</v>
      </c>
      <c r="G27" s="45">
        <f t="shared" si="0"/>
        <v>3328888.8888888881</v>
      </c>
      <c r="H27" s="45">
        <f t="shared" si="0"/>
        <v>5006648.8888888881</v>
      </c>
      <c r="J27" s="17" t="s">
        <v>207</v>
      </c>
    </row>
    <row r="28" spans="3:10" ht="24" x14ac:dyDescent="0.25">
      <c r="C28" s="14" t="s">
        <v>208</v>
      </c>
      <c r="D28" s="15" t="s">
        <v>9</v>
      </c>
      <c r="E28" s="45">
        <f>E21+E23-E24-E25</f>
        <v>5392800</v>
      </c>
      <c r="F28" s="45">
        <f>F21+F23-F24-F25</f>
        <v>31982300.000000004</v>
      </c>
      <c r="G28" s="45">
        <f>G21+G23-G24-G25</f>
        <v>74900000</v>
      </c>
      <c r="H28" s="45">
        <f>H21+H23-H24-H25</f>
        <v>112649600</v>
      </c>
      <c r="J28" s="17" t="s">
        <v>209</v>
      </c>
    </row>
    <row r="29" spans="3:10" x14ac:dyDescent="0.25">
      <c r="C29" s="14" t="s">
        <v>210</v>
      </c>
      <c r="D29" s="15" t="s">
        <v>9</v>
      </c>
      <c r="E29" s="18">
        <f>'05 P&amp;L'!E11</f>
        <v>803784</v>
      </c>
      <c r="F29" s="18">
        <f>'05 P&amp;L'!F11</f>
        <v>4766885.666666667</v>
      </c>
      <c r="G29" s="18">
        <f>'05 P&amp;L'!G11</f>
        <v>11163666.666666668</v>
      </c>
      <c r="H29" s="18">
        <f>'05 P&amp;L'!H11</f>
        <v>16790154.666666668</v>
      </c>
      <c r="J29" s="17" t="s">
        <v>211</v>
      </c>
    </row>
    <row r="30" spans="3:10" ht="24" x14ac:dyDescent="0.25">
      <c r="C30" s="14" t="s">
        <v>212</v>
      </c>
      <c r="D30" s="15" t="s">
        <v>9</v>
      </c>
      <c r="E30" s="45">
        <f>E28-E29</f>
        <v>4589016</v>
      </c>
      <c r="F30" s="45">
        <f>F28-F29</f>
        <v>27215414.333333336</v>
      </c>
      <c r="G30" s="45">
        <f>G28-G29</f>
        <v>63736333.333333328</v>
      </c>
      <c r="H30" s="45">
        <f>H28-H29</f>
        <v>95859445.333333328</v>
      </c>
      <c r="J30" s="17" t="s">
        <v>213</v>
      </c>
    </row>
    <row r="31" spans="3:10" x14ac:dyDescent="0.25">
      <c r="C31" s="14" t="s">
        <v>214</v>
      </c>
      <c r="D31" s="15" t="s">
        <v>9</v>
      </c>
      <c r="E31" s="45">
        <f>E24</f>
        <v>526126.82926829252</v>
      </c>
      <c r="F31" s="45">
        <f>F24</f>
        <v>3120224.3902439028</v>
      </c>
      <c r="G31" s="45">
        <f>G24</f>
        <v>7307317.073170729</v>
      </c>
      <c r="H31" s="45">
        <f>H24</f>
        <v>10990204.878048778</v>
      </c>
      <c r="J31" s="17" t="s">
        <v>215</v>
      </c>
    </row>
    <row r="32" spans="3:10" x14ac:dyDescent="0.25">
      <c r="C32" s="10" t="s">
        <v>216</v>
      </c>
      <c r="D32" s="11" t="s">
        <v>9</v>
      </c>
      <c r="E32" s="32">
        <f>E30+E31</f>
        <v>5115142.8292682925</v>
      </c>
      <c r="F32" s="32">
        <f>F30+F31</f>
        <v>30335638.723577239</v>
      </c>
      <c r="G32" s="32">
        <f>G30+G31</f>
        <v>71043650.406504065</v>
      </c>
      <c r="H32" s="32">
        <f>H30+H31</f>
        <v>106849650.21138211</v>
      </c>
      <c r="J32" s="13" t="s">
        <v>217</v>
      </c>
    </row>
    <row r="34" spans="3:10" x14ac:dyDescent="0.25">
      <c r="C34" s="8" t="s">
        <v>218</v>
      </c>
      <c r="D34" s="8"/>
      <c r="E34" s="8"/>
      <c r="F34" s="8"/>
      <c r="G34" s="8"/>
      <c r="H34" s="8"/>
      <c r="J34" s="38" t="s">
        <v>385</v>
      </c>
    </row>
    <row r="35" spans="3:10" ht="36" x14ac:dyDescent="0.25">
      <c r="C35" s="14" t="s">
        <v>219</v>
      </c>
      <c r="D35" s="15" t="s">
        <v>220</v>
      </c>
      <c r="E35" s="47">
        <v>14</v>
      </c>
      <c r="F35" s="47">
        <v>25</v>
      </c>
      <c r="G35" s="47">
        <v>25</v>
      </c>
      <c r="H35" s="47">
        <v>25</v>
      </c>
      <c r="J35" s="17" t="s">
        <v>221</v>
      </c>
    </row>
    <row r="36" spans="3:10" x14ac:dyDescent="0.25">
      <c r="C36" s="14" t="s">
        <v>222</v>
      </c>
      <c r="D36" s="15" t="s">
        <v>131</v>
      </c>
      <c r="E36" s="44">
        <f>'03 Strategy'!E17</f>
        <v>2</v>
      </c>
      <c r="F36" s="44">
        <f>'03 Strategy'!F17</f>
        <v>2</v>
      </c>
      <c r="G36" s="44">
        <f>'03 Strategy'!G17</f>
        <v>3</v>
      </c>
      <c r="H36" s="44">
        <f>'03 Strategy'!H17</f>
        <v>3</v>
      </c>
      <c r="J36" s="17" t="s">
        <v>223</v>
      </c>
    </row>
    <row r="37" spans="3:10" ht="36" x14ac:dyDescent="0.25">
      <c r="C37" s="14" t="s">
        <v>224</v>
      </c>
      <c r="D37" s="15" t="s">
        <v>144</v>
      </c>
      <c r="E37" s="18">
        <f>'03 Strategy'!E24</f>
        <v>200</v>
      </c>
      <c r="F37" s="18">
        <f>'03 Strategy'!F24</f>
        <v>200</v>
      </c>
      <c r="G37" s="18">
        <f>'03 Strategy'!G24</f>
        <v>200</v>
      </c>
      <c r="H37" s="18">
        <f>'03 Strategy'!H24</f>
        <v>200</v>
      </c>
      <c r="J37" s="17" t="s">
        <v>225</v>
      </c>
    </row>
    <row r="38" spans="3:10" ht="24" x14ac:dyDescent="0.25">
      <c r="C38" s="10" t="s">
        <v>226</v>
      </c>
      <c r="D38" s="11" t="s">
        <v>9</v>
      </c>
      <c r="E38" s="32">
        <f>PRODUCT(E35:E37)</f>
        <v>5600</v>
      </c>
      <c r="F38" s="32">
        <f>PRODUCT(F35:F37)</f>
        <v>10000</v>
      </c>
      <c r="G38" s="32">
        <f>PRODUCT(G35:G37)</f>
        <v>15000</v>
      </c>
      <c r="H38" s="32">
        <f>PRODUCT(H35:H37)</f>
        <v>15000</v>
      </c>
      <c r="J38" s="13" t="s">
        <v>227</v>
      </c>
    </row>
    <row r="40" spans="3:10" ht="24" x14ac:dyDescent="0.25">
      <c r="C40" s="8" t="s">
        <v>228</v>
      </c>
      <c r="D40" s="8"/>
      <c r="E40" s="8"/>
      <c r="F40" s="8"/>
      <c r="G40" s="8"/>
      <c r="H40" s="8"/>
      <c r="J40" s="38" t="s">
        <v>229</v>
      </c>
    </row>
    <row r="41" spans="3:10" x14ac:dyDescent="0.25">
      <c r="C41" s="14" t="s">
        <v>230</v>
      </c>
      <c r="D41" s="15" t="s">
        <v>231</v>
      </c>
      <c r="E41" s="48">
        <f>IF('03 Strategy'!E42=0,0,E24/'03 Strategy'!E42)</f>
        <v>43843.902439024379</v>
      </c>
      <c r="F41" s="48">
        <f>IF('03 Strategy'!F42=0,0,F24/'03 Strategy'!F42)</f>
        <v>260018.6991869919</v>
      </c>
      <c r="G41" s="48">
        <f>IF('03 Strategy'!G42=0,0,G24/'03 Strategy'!G42)</f>
        <v>608943.08943089412</v>
      </c>
      <c r="H41" s="48">
        <f>IF('03 Strategy'!H42=0,0,H24/'03 Strategy'!H42)</f>
        <v>915850.4065040648</v>
      </c>
      <c r="J41" s="17" t="s">
        <v>232</v>
      </c>
    </row>
    <row r="42" spans="3:10" x14ac:dyDescent="0.25">
      <c r="C42" s="14" t="s">
        <v>233</v>
      </c>
      <c r="D42" s="15" t="s">
        <v>234</v>
      </c>
      <c r="E42" s="18">
        <f>'03 Strategy'!E43+'03 Strategy'!E44</f>
        <v>1.4</v>
      </c>
      <c r="F42" s="18">
        <f>'03 Strategy'!F43+'03 Strategy'!F44</f>
        <v>1.4</v>
      </c>
      <c r="G42" s="18">
        <f>'03 Strategy'!G43+'03 Strategy'!G44</f>
        <v>1.4</v>
      </c>
      <c r="H42" s="18">
        <f>'03 Strategy'!H43+'03 Strategy'!H44</f>
        <v>1.4</v>
      </c>
      <c r="J42" s="17" t="s">
        <v>235</v>
      </c>
    </row>
    <row r="43" spans="3:10" x14ac:dyDescent="0.25">
      <c r="C43" s="10" t="s">
        <v>236</v>
      </c>
      <c r="D43" s="11" t="s">
        <v>9</v>
      </c>
      <c r="E43" s="32">
        <f>E41*E42</f>
        <v>61381.463414634127</v>
      </c>
      <c r="F43" s="32">
        <f>F41*F42</f>
        <v>364026.17886178865</v>
      </c>
      <c r="G43" s="32">
        <f>G41*G42</f>
        <v>852520.32520325168</v>
      </c>
      <c r="H43" s="32">
        <f>H41*H42</f>
        <v>1282190.5691056906</v>
      </c>
      <c r="J43" s="13" t="s">
        <v>237</v>
      </c>
    </row>
  </sheetData>
  <conditionalFormatting sqref="E6:H43">
    <cfRule type="expression" dxfId="9" priority="2">
      <formula>E6="PASS"</formula>
    </cfRule>
    <cfRule type="expression" dxfId="8" priority="3">
      <formula>OR(E6="NOT MET",E6="CHECK",E6="ERROR",E6="OVER CAP",E6="REVIEW (&gt;60%)")</formula>
    </cfRule>
  </conditionalFormatting>
  <pageMargins left="0.4" right="0.4" top="0.5" bottom="0.5" header="0.511811023622047" footer="0.51180555555555596"/>
  <pageSetup paperSize="9" fitToHeight="0" orientation="landscape" horizontalDpi="300" verticalDpi="300"/>
  <headerFooter>
    <oddFooter>&amp;C&amp;8 &amp;A  ·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A8F85"/>
    <pageSetUpPr fitToPage="1"/>
  </sheetPr>
  <dimension ref="C2:J43"/>
  <sheetViews>
    <sheetView showGridLines="0" zoomScale="110" zoomScaleNormal="110" workbookViewId="0">
      <pane xSplit="4" ySplit="5" topLeftCell="E6" activePane="bottomRight" state="frozen"/>
      <selection activeCell="H59" sqref="H59"/>
      <selection pane="topRight" activeCell="H59" sqref="H59"/>
      <selection pane="bottomLeft" activeCell="H59" sqref="H59"/>
      <selection pane="bottomRight" activeCell="N23" sqref="N23"/>
    </sheetView>
  </sheetViews>
  <sheetFormatPr defaultColWidth="8.7109375" defaultRowHeight="15" x14ac:dyDescent="0.25"/>
  <cols>
    <col min="1" max="2" width="2" customWidth="1"/>
    <col min="3" max="3" width="60" customWidth="1"/>
    <col min="4" max="4" width="13" customWidth="1"/>
    <col min="5" max="8" width="15.42578125" customWidth="1"/>
    <col min="9" max="9" width="2" customWidth="1"/>
    <col min="10" max="10" width="127.140625" style="69" customWidth="1"/>
    <col min="11" max="13" width="9" customWidth="1"/>
  </cols>
  <sheetData>
    <row r="2" spans="3:10" ht="19.5" x14ac:dyDescent="0.25">
      <c r="C2" s="1" t="s">
        <v>238</v>
      </c>
      <c r="D2" s="2"/>
      <c r="E2" s="2"/>
      <c r="F2" s="2"/>
      <c r="G2" s="2"/>
      <c r="H2" s="2"/>
      <c r="I2" s="2"/>
      <c r="J2" s="70"/>
    </row>
    <row r="3" spans="3:10" x14ac:dyDescent="0.25">
      <c r="C3" s="4" t="s">
        <v>239</v>
      </c>
    </row>
    <row r="5" spans="3:10" x14ac:dyDescent="0.25">
      <c r="C5" s="6" t="s">
        <v>4</v>
      </c>
      <c r="D5" s="7" t="s">
        <v>5</v>
      </c>
      <c r="E5" s="7">
        <v>2027</v>
      </c>
      <c r="F5" s="7">
        <v>2028</v>
      </c>
      <c r="G5" s="7">
        <v>2029</v>
      </c>
      <c r="H5" s="7">
        <v>2030</v>
      </c>
      <c r="J5" s="71" t="s">
        <v>6</v>
      </c>
    </row>
    <row r="7" spans="3:10" x14ac:dyDescent="0.25">
      <c r="C7" s="8" t="s">
        <v>240</v>
      </c>
      <c r="D7" s="8"/>
      <c r="E7" s="8"/>
      <c r="F7" s="8"/>
      <c r="G7" s="8"/>
      <c r="H7" s="8"/>
      <c r="J7" s="8"/>
    </row>
    <row r="8" spans="3:10" x14ac:dyDescent="0.25">
      <c r="C8" s="14" t="s">
        <v>241</v>
      </c>
      <c r="D8" s="15" t="s">
        <v>9</v>
      </c>
      <c r="E8" s="18">
        <f>('02 Fee Schedule'!E8*'04 Operations'!E15+'02 Fee Schedule'!E9*'04 Operations'!E16)</f>
        <v>449400</v>
      </c>
      <c r="F8" s="18">
        <f>('02 Fee Schedule'!F8*'04 Operations'!F15+'02 Fee Schedule'!F9*'04 Operations'!F16)</f>
        <v>2665191.666666667</v>
      </c>
      <c r="G8" s="18">
        <f>('02 Fee Schedule'!G8*'04 Operations'!G15+'02 Fee Schedule'!G9*'04 Operations'!G16)</f>
        <v>6241666.666666667</v>
      </c>
      <c r="H8" s="18">
        <f>('02 Fee Schedule'!H8*'04 Operations'!H15+'02 Fee Schedule'!H9*'04 Operations'!H16)</f>
        <v>9387466.6666666679</v>
      </c>
      <c r="J8" s="72"/>
    </row>
    <row r="9" spans="3:10" x14ac:dyDescent="0.25">
      <c r="C9" s="14" t="s">
        <v>242</v>
      </c>
      <c r="D9" s="15" t="s">
        <v>9</v>
      </c>
      <c r="E9" s="18">
        <f>('02 Fee Schedule'!E8*'04 Operations'!E17+'02 Fee Schedule'!E9*'04 Operations'!E18)</f>
        <v>354384</v>
      </c>
      <c r="F9" s="18">
        <f>('02 Fee Schedule'!F8*'04 Operations'!F17+'02 Fee Schedule'!F9*'04 Operations'!F18)</f>
        <v>2101694</v>
      </c>
      <c r="G9" s="18">
        <f>('02 Fee Schedule'!G8*'04 Operations'!G17+'02 Fee Schedule'!G9*'04 Operations'!G18)</f>
        <v>4922000</v>
      </c>
      <c r="H9" s="18">
        <f>('02 Fee Schedule'!H8*'04 Operations'!H17+'02 Fee Schedule'!H9*'04 Operations'!H18)</f>
        <v>7402688</v>
      </c>
      <c r="J9" s="72"/>
    </row>
    <row r="10" spans="3:10" x14ac:dyDescent="0.25">
      <c r="C10" s="14" t="s">
        <v>243</v>
      </c>
      <c r="D10" s="15" t="s">
        <v>9</v>
      </c>
      <c r="E10" s="18">
        <f>-MAX(0,E8-'02 Fee Schedule'!E10*'04 Operations'!E11)-MAX(0,E9-'02 Fee Schedule'!E10*'04 Operations'!E12)</f>
        <v>0</v>
      </c>
      <c r="F10" s="18">
        <f>-MAX(0,F8-'02 Fee Schedule'!F10*'04 Operations'!F11)-MAX(0,F9-'02 Fee Schedule'!F10*'04 Operations'!F12)</f>
        <v>0</v>
      </c>
      <c r="G10" s="18">
        <f>-MAX(0,G8-'02 Fee Schedule'!G10*'04 Operations'!G11)-MAX(0,G9-'02 Fee Schedule'!G10*'04 Operations'!G12)</f>
        <v>0</v>
      </c>
      <c r="H10" s="18">
        <f>-MAX(0,H8-'02 Fee Schedule'!H10*'04 Operations'!H11)-MAX(0,H9-'02 Fee Schedule'!H10*'04 Operations'!H12)</f>
        <v>0</v>
      </c>
      <c r="J10" s="72"/>
    </row>
    <row r="11" spans="3:10" x14ac:dyDescent="0.25">
      <c r="C11" s="10" t="s">
        <v>244</v>
      </c>
      <c r="D11" s="11" t="s">
        <v>9</v>
      </c>
      <c r="E11" s="32">
        <f>SUM(E8:E10)</f>
        <v>803784</v>
      </c>
      <c r="F11" s="32">
        <f>SUM(F8:F10)</f>
        <v>4766885.666666667</v>
      </c>
      <c r="G11" s="32">
        <f>SUM(G8:G10)</f>
        <v>11163666.666666668</v>
      </c>
      <c r="H11" s="32">
        <f>SUM(H8:H10)</f>
        <v>16790154.666666668</v>
      </c>
      <c r="J11" s="73"/>
    </row>
    <row r="12" spans="3:10" x14ac:dyDescent="0.25">
      <c r="C12" s="10" t="s">
        <v>245</v>
      </c>
      <c r="D12" s="11" t="s">
        <v>9</v>
      </c>
      <c r="E12" s="12">
        <f>(0+'01 Market'!E15)/2*'02 Fee Schedule'!E16*'02 Fee Schedule'!E15*'01 Market'!E8</f>
        <v>27000</v>
      </c>
      <c r="F12" s="12">
        <f>('01 Market'!E15+'01 Market'!F15)/2*'02 Fee Schedule'!F16*'02 Fee Schedule'!F15*'01 Market'!F8</f>
        <v>1281000</v>
      </c>
      <c r="G12" s="12">
        <f>('01 Market'!F15+'01 Market'!G15)/2*'02 Fee Schedule'!G16*'02 Fee Schedule'!G15*'01 Market'!G8</f>
        <v>3750000</v>
      </c>
      <c r="H12" s="12">
        <f>('01 Market'!G15+'01 Market'!H15)/2*'02 Fee Schedule'!H16*'02 Fee Schedule'!H15*'01 Market'!H8</f>
        <v>5640000</v>
      </c>
      <c r="J12" s="73" t="s">
        <v>246</v>
      </c>
    </row>
    <row r="13" spans="3:10" x14ac:dyDescent="0.25">
      <c r="C13" s="10" t="s">
        <v>247</v>
      </c>
      <c r="D13" s="11" t="s">
        <v>9</v>
      </c>
      <c r="E13" s="12">
        <f>'04 Operations'!E10*'02 Fee Schedule'!E19</f>
        <v>134820</v>
      </c>
      <c r="F13" s="12">
        <f>'04 Operations'!F10*'02 Fee Schedule'!F19</f>
        <v>799557.5</v>
      </c>
      <c r="G13" s="12">
        <f>'04 Operations'!G10*'02 Fee Schedule'!G19</f>
        <v>1872500</v>
      </c>
      <c r="H13" s="12">
        <f>'04 Operations'!H10*'02 Fee Schedule'!H19</f>
        <v>2816240</v>
      </c>
      <c r="J13" s="73" t="s">
        <v>248</v>
      </c>
    </row>
    <row r="14" spans="3:10" x14ac:dyDescent="0.25">
      <c r="C14" s="14" t="s">
        <v>249</v>
      </c>
      <c r="D14" s="15" t="s">
        <v>9</v>
      </c>
      <c r="E14" s="18">
        <f>'02 Fee Schedule'!E23*'02 Fee Schedule'!E24*'01 Market'!E8/12</f>
        <v>7500</v>
      </c>
      <c r="F14" s="18">
        <f>'02 Fee Schedule'!F23*'02 Fee Schedule'!F24*'01 Market'!F8/12</f>
        <v>120000</v>
      </c>
      <c r="G14" s="18">
        <f>'02 Fee Schedule'!G23*'02 Fee Schedule'!G24*'01 Market'!G8/12</f>
        <v>300000</v>
      </c>
      <c r="H14" s="18">
        <f>'02 Fee Schedule'!H23*'02 Fee Schedule'!H24*'01 Market'!H8/12</f>
        <v>600000</v>
      </c>
      <c r="J14" s="72"/>
    </row>
    <row r="15" spans="3:10" x14ac:dyDescent="0.25">
      <c r="C15" s="14" t="s">
        <v>250</v>
      </c>
      <c r="D15" s="15" t="s">
        <v>9</v>
      </c>
      <c r="E15" s="18">
        <f>('04 Operations'!E15+'04 Operations'!E16)*'02 Fee Schedule'!E25</f>
        <v>64713.599999999999</v>
      </c>
      <c r="F15" s="18">
        <f>('04 Operations'!F15+'04 Operations'!F16)*'02 Fee Schedule'!F25</f>
        <v>383787.60000000003</v>
      </c>
      <c r="G15" s="18">
        <f>('04 Operations'!G15+'04 Operations'!G16)*'02 Fee Schedule'!G25</f>
        <v>898800</v>
      </c>
      <c r="H15" s="18">
        <f>('04 Operations'!H15+'04 Operations'!H16)*'02 Fee Schedule'!H25</f>
        <v>1351795.2</v>
      </c>
      <c r="J15" s="72" t="s">
        <v>251</v>
      </c>
    </row>
    <row r="16" spans="3:10" x14ac:dyDescent="0.25">
      <c r="C16" s="10" t="s">
        <v>252</v>
      </c>
      <c r="D16" s="11" t="s">
        <v>9</v>
      </c>
      <c r="E16" s="32">
        <f>E14+E15</f>
        <v>72213.600000000006</v>
      </c>
      <c r="F16" s="32">
        <f>F14+F15</f>
        <v>503787.60000000003</v>
      </c>
      <c r="G16" s="32">
        <f>G14+G15</f>
        <v>1198800</v>
      </c>
      <c r="H16" s="32">
        <f>H14+H15</f>
        <v>1951795.2</v>
      </c>
      <c r="J16" s="73"/>
    </row>
    <row r="17" spans="3:10" x14ac:dyDescent="0.25">
      <c r="C17" s="10" t="s">
        <v>253</v>
      </c>
      <c r="D17" s="11" t="s">
        <v>9</v>
      </c>
      <c r="E17" s="32">
        <f>E11+E12+E13+E16</f>
        <v>1037817.6</v>
      </c>
      <c r="F17" s="32">
        <f>F11+F12+F13+F16</f>
        <v>7351230.7666666666</v>
      </c>
      <c r="G17" s="32">
        <f>G11+G12+G13+G16</f>
        <v>17984966.666666668</v>
      </c>
      <c r="H17" s="32">
        <f>H11+H12+H13+H16</f>
        <v>27198189.866666667</v>
      </c>
      <c r="J17" s="73"/>
    </row>
    <row r="18" spans="3:10" x14ac:dyDescent="0.25">
      <c r="C18" s="14" t="s">
        <v>27</v>
      </c>
      <c r="D18" s="15" t="s">
        <v>12</v>
      </c>
      <c r="E18" s="16">
        <f>IF('04 Operations'!E10=0,0,E17/'04 Operations'!E10)</f>
        <v>0.1924450378282154</v>
      </c>
      <c r="F18" s="16">
        <f>IF('04 Operations'!F10=0,0,F17/'04 Operations'!F10)</f>
        <v>0.2298530989536921</v>
      </c>
      <c r="G18" s="16">
        <f>IF('04 Operations'!G10=0,0,G17/'04 Operations'!G10)</f>
        <v>0.24011971517578995</v>
      </c>
      <c r="H18" s="16">
        <f>IF('04 Operations'!H10=0,0,H17/'04 Operations'!H10)</f>
        <v>0.2414406253254931</v>
      </c>
      <c r="J18" s="72"/>
    </row>
    <row r="19" spans="3:10" x14ac:dyDescent="0.25">
      <c r="C19" s="14" t="s">
        <v>254</v>
      </c>
      <c r="D19" s="15" t="s">
        <v>12</v>
      </c>
      <c r="E19" s="16">
        <f>IF('04 Operations'!E10=0,0,E11/'04 Operations'!E10)</f>
        <v>0.14904761904761904</v>
      </c>
      <c r="F19" s="16">
        <f>IF('04 Operations'!F10=0,0,F11/'04 Operations'!F10)</f>
        <v>0.14904761904761907</v>
      </c>
      <c r="G19" s="16">
        <f>IF('04 Operations'!G10=0,0,G11/'04 Operations'!G10)</f>
        <v>0.14904761904761907</v>
      </c>
      <c r="H19" s="16">
        <f>IF('04 Operations'!H10=0,0,H11/'04 Operations'!H10)</f>
        <v>0.14904761904761907</v>
      </c>
      <c r="J19" s="72"/>
    </row>
    <row r="20" spans="3:10" x14ac:dyDescent="0.25">
      <c r="C20" s="8" t="s">
        <v>255</v>
      </c>
      <c r="D20" s="8"/>
      <c r="E20" s="8"/>
      <c r="F20" s="8"/>
      <c r="G20" s="8"/>
      <c r="H20" s="8"/>
      <c r="J20" s="8"/>
    </row>
    <row r="21" spans="3:10" x14ac:dyDescent="0.25">
      <c r="C21" s="14" t="s">
        <v>256</v>
      </c>
      <c r="D21" s="15" t="s">
        <v>9</v>
      </c>
      <c r="E21" s="18">
        <f>-'04 Operations'!E43</f>
        <v>-61381.463414634127</v>
      </c>
      <c r="F21" s="18">
        <f>-'04 Operations'!F43</f>
        <v>-364026.17886178865</v>
      </c>
      <c r="G21" s="18">
        <f>-'04 Operations'!G43</f>
        <v>-852520.32520325168</v>
      </c>
      <c r="H21" s="18">
        <f>-'04 Operations'!H43</f>
        <v>-1282190.5691056906</v>
      </c>
      <c r="J21" s="72" t="s">
        <v>257</v>
      </c>
    </row>
    <row r="22" spans="3:10" x14ac:dyDescent="0.25">
      <c r="C22" s="10" t="s">
        <v>258</v>
      </c>
      <c r="D22" s="11" t="s">
        <v>9</v>
      </c>
      <c r="E22" s="32">
        <f>E17+E21</f>
        <v>976436.13658536586</v>
      </c>
      <c r="F22" s="32">
        <f>F17+F21</f>
        <v>6987204.5878048781</v>
      </c>
      <c r="G22" s="32">
        <f>G17+G21</f>
        <v>17132446.341463417</v>
      </c>
      <c r="H22" s="32">
        <f>H17+H21</f>
        <v>25915999.297560975</v>
      </c>
      <c r="J22" s="73" t="s">
        <v>259</v>
      </c>
    </row>
    <row r="23" spans="3:10" x14ac:dyDescent="0.25">
      <c r="C23" s="8" t="s">
        <v>260</v>
      </c>
      <c r="D23" s="8"/>
      <c r="E23" s="8"/>
      <c r="F23" s="8"/>
      <c r="G23" s="8"/>
      <c r="H23" s="8"/>
      <c r="J23" s="8"/>
    </row>
    <row r="24" spans="3:10" x14ac:dyDescent="0.25">
      <c r="C24" s="14" t="s">
        <v>261</v>
      </c>
      <c r="D24" s="15" t="s">
        <v>9</v>
      </c>
      <c r="E24" s="18">
        <f>-'03 Strategy'!E13*'03 Strategy'!E19</f>
        <v>-52000</v>
      </c>
      <c r="F24" s="18">
        <f>-'03 Strategy'!F13*'03 Strategy'!F19</f>
        <v>-104000</v>
      </c>
      <c r="G24" s="18">
        <f>-'03 Strategy'!G13*'03 Strategy'!G19</f>
        <v>-208000</v>
      </c>
      <c r="H24" s="18">
        <f>-'03 Strategy'!H13*'03 Strategy'!H19</f>
        <v>-260000</v>
      </c>
      <c r="J24" s="72"/>
    </row>
    <row r="25" spans="3:10" x14ac:dyDescent="0.25">
      <c r="C25" s="14" t="s">
        <v>262</v>
      </c>
      <c r="D25" s="15" t="s">
        <v>9</v>
      </c>
      <c r="E25" s="18">
        <f>-'03 Strategy'!E14*'03 Strategy'!E20</f>
        <v>0</v>
      </c>
      <c r="F25" s="18">
        <f>-'03 Strategy'!F14*'03 Strategy'!F20</f>
        <v>-100100</v>
      </c>
      <c r="G25" s="18">
        <f>-'03 Strategy'!G14*'03 Strategy'!G20</f>
        <v>-150150</v>
      </c>
      <c r="H25" s="18">
        <f>-'03 Strategy'!H14*'03 Strategy'!H20</f>
        <v>-200200</v>
      </c>
      <c r="J25" s="72"/>
    </row>
    <row r="26" spans="3:10" x14ac:dyDescent="0.25">
      <c r="C26" s="14" t="s">
        <v>126</v>
      </c>
      <c r="D26" s="15" t="s">
        <v>9</v>
      </c>
      <c r="E26" s="18">
        <f>-'03 Strategy'!E15*'03 Strategy'!E22</f>
        <v>-70070</v>
      </c>
      <c r="F26" s="18">
        <f>-'03 Strategy'!F15*'03 Strategy'!F22</f>
        <v>-260260</v>
      </c>
      <c r="G26" s="18">
        <f>-'03 Strategy'!G15*'03 Strategy'!G22</f>
        <v>-600600</v>
      </c>
      <c r="H26" s="18">
        <f>-'03 Strategy'!H15*'03 Strategy'!H22</f>
        <v>-900900</v>
      </c>
      <c r="J26" s="72"/>
    </row>
    <row r="27" spans="3:10" x14ac:dyDescent="0.25">
      <c r="C27" s="14" t="s">
        <v>128</v>
      </c>
      <c r="D27" s="15" t="s">
        <v>9</v>
      </c>
      <c r="E27" s="18">
        <f>-'03 Strategy'!E16*'03 Strategy'!E23</f>
        <v>-80080</v>
      </c>
      <c r="F27" s="18">
        <f>-'03 Strategy'!F16*'03 Strategy'!F23</f>
        <v>-80080</v>
      </c>
      <c r="G27" s="18">
        <f>-'03 Strategy'!G16*'03 Strategy'!G23</f>
        <v>-120120</v>
      </c>
      <c r="H27" s="18">
        <f>-'03 Strategy'!H16*'03 Strategy'!H23</f>
        <v>-120120</v>
      </c>
      <c r="J27" s="72"/>
    </row>
    <row r="28" spans="3:10" x14ac:dyDescent="0.25">
      <c r="C28" s="14" t="s">
        <v>263</v>
      </c>
      <c r="D28" s="15" t="s">
        <v>9</v>
      </c>
      <c r="E28" s="18">
        <f>-'03 Strategy'!E26</f>
        <v>-17000</v>
      </c>
      <c r="F28" s="18">
        <f>-'03 Strategy'!F26</f>
        <v>-17000</v>
      </c>
      <c r="G28" s="18">
        <f>-'03 Strategy'!G26</f>
        <v>-17000</v>
      </c>
      <c r="H28" s="18">
        <f>-'03 Strategy'!H26</f>
        <v>-17000</v>
      </c>
      <c r="J28" s="72"/>
    </row>
    <row r="29" spans="3:10" x14ac:dyDescent="0.25">
      <c r="C29" s="14" t="s">
        <v>264</v>
      </c>
      <c r="D29" s="15" t="s">
        <v>9</v>
      </c>
      <c r="E29" s="18">
        <f>-'03 Strategy'!E14*'03 Strategy'!E27</f>
        <v>0</v>
      </c>
      <c r="F29" s="18">
        <f>-'03 Strategy'!F14*'03 Strategy'!F27</f>
        <v>-23700</v>
      </c>
      <c r="G29" s="18">
        <f>-'03 Strategy'!G14*'03 Strategy'!G27</f>
        <v>-35550</v>
      </c>
      <c r="H29" s="18">
        <f>-'03 Strategy'!H14*'03 Strategy'!H27</f>
        <v>-47400</v>
      </c>
      <c r="J29" s="72" t="s">
        <v>265</v>
      </c>
    </row>
    <row r="30" spans="3:10" x14ac:dyDescent="0.25">
      <c r="C30" s="14" t="s">
        <v>266</v>
      </c>
      <c r="D30" s="15" t="s">
        <v>9</v>
      </c>
      <c r="E30" s="18">
        <f>-'03 Strategy'!E28</f>
        <v>-6900</v>
      </c>
      <c r="F30" s="18">
        <f>-'03 Strategy'!F28</f>
        <v>-6900</v>
      </c>
      <c r="G30" s="18">
        <f>-'03 Strategy'!G28</f>
        <v>-6900</v>
      </c>
      <c r="H30" s="18">
        <f>-'03 Strategy'!H28</f>
        <v>-6900</v>
      </c>
      <c r="J30" s="72"/>
    </row>
    <row r="31" spans="3:10" x14ac:dyDescent="0.25">
      <c r="C31" s="14" t="s">
        <v>267</v>
      </c>
      <c r="D31" s="15" t="s">
        <v>9</v>
      </c>
      <c r="E31" s="18">
        <f>-'03 Strategy'!E29</f>
        <v>-1575</v>
      </c>
      <c r="F31" s="18">
        <f>-'03 Strategy'!F29</f>
        <v>-1785</v>
      </c>
      <c r="G31" s="18">
        <f>-'03 Strategy'!G29</f>
        <v>-2145</v>
      </c>
      <c r="H31" s="18">
        <f>-'03 Strategy'!H29</f>
        <v>-2745</v>
      </c>
      <c r="J31" s="72"/>
    </row>
    <row r="32" spans="3:10" x14ac:dyDescent="0.25">
      <c r="C32" s="14" t="s">
        <v>268</v>
      </c>
      <c r="D32" s="15" t="s">
        <v>9</v>
      </c>
      <c r="E32" s="18">
        <f>-'03 Strategy'!E11</f>
        <v>0</v>
      </c>
      <c r="F32" s="18">
        <f>-'03 Strategy'!F11</f>
        <v>-19750</v>
      </c>
      <c r="G32" s="18">
        <f>-'03 Strategy'!G11</f>
        <v>-29750</v>
      </c>
      <c r="H32" s="18">
        <f>-'03 Strategy'!H11</f>
        <v>-39500</v>
      </c>
      <c r="J32" s="72" t="s">
        <v>269</v>
      </c>
    </row>
    <row r="33" spans="3:10" ht="24" x14ac:dyDescent="0.25">
      <c r="C33" s="14" t="s">
        <v>270</v>
      </c>
      <c r="D33" s="15" t="s">
        <v>9</v>
      </c>
      <c r="E33" s="18">
        <f>-'04 Operations'!E38</f>
        <v>-5600</v>
      </c>
      <c r="F33" s="18">
        <f>-'04 Operations'!F38</f>
        <v>-10000</v>
      </c>
      <c r="G33" s="18">
        <f>-'04 Operations'!G38</f>
        <v>-15000</v>
      </c>
      <c r="H33" s="18">
        <f>-'04 Operations'!H38</f>
        <v>-15000</v>
      </c>
      <c r="J33" s="17" t="s">
        <v>271</v>
      </c>
    </row>
    <row r="34" spans="3:10" x14ac:dyDescent="0.25">
      <c r="C34" s="10" t="s">
        <v>272</v>
      </c>
      <c r="D34" s="11" t="s">
        <v>9</v>
      </c>
      <c r="E34" s="32">
        <f>SUM(E24:E33)</f>
        <v>-233225</v>
      </c>
      <c r="F34" s="32">
        <f>SUM(F24:F33)</f>
        <v>-623575</v>
      </c>
      <c r="G34" s="32">
        <f>SUM(G24:G33)</f>
        <v>-1185215</v>
      </c>
      <c r="H34" s="32">
        <f>SUM(H24:H33)</f>
        <v>-1609765</v>
      </c>
      <c r="J34" s="73"/>
    </row>
    <row r="35" spans="3:10" x14ac:dyDescent="0.25">
      <c r="C35" s="10" t="s">
        <v>10</v>
      </c>
      <c r="D35" s="11" t="s">
        <v>9</v>
      </c>
      <c r="E35" s="32">
        <f>E22+E34</f>
        <v>743211.13658536586</v>
      </c>
      <c r="F35" s="32">
        <f>F22+F34</f>
        <v>6363629.5878048781</v>
      </c>
      <c r="G35" s="32">
        <f>G22+G34</f>
        <v>15947231.341463417</v>
      </c>
      <c r="H35" s="32">
        <f>H22+H34</f>
        <v>24306234.297560975</v>
      </c>
      <c r="J35" s="73" t="s">
        <v>273</v>
      </c>
    </row>
    <row r="36" spans="3:10" x14ac:dyDescent="0.25">
      <c r="C36" s="14" t="s">
        <v>274</v>
      </c>
      <c r="D36" s="15" t="s">
        <v>12</v>
      </c>
      <c r="E36" s="19">
        <f>IF(E17=0,0,E35/E17)</f>
        <v>0.7161288617434951</v>
      </c>
      <c r="F36" s="19">
        <f>IF(F17=0,0,F35/F17)</f>
        <v>0.8656549889115227</v>
      </c>
      <c r="G36" s="19">
        <f>IF(G17=0,0,G35/G17)</f>
        <v>0.88669785365907905</v>
      </c>
      <c r="H36" s="19">
        <f>IF(H17=0,0,H35/H17)</f>
        <v>0.89367102798815334</v>
      </c>
      <c r="J36" s="72"/>
    </row>
    <row r="38" spans="3:10" x14ac:dyDescent="0.25">
      <c r="C38" s="8" t="s">
        <v>275</v>
      </c>
      <c r="D38" s="8"/>
      <c r="E38" s="8"/>
      <c r="F38" s="8"/>
      <c r="G38" s="8"/>
      <c r="H38" s="8"/>
      <c r="J38" s="8"/>
    </row>
    <row r="39" spans="3:10" x14ac:dyDescent="0.25">
      <c r="C39" s="14" t="s">
        <v>276</v>
      </c>
      <c r="D39" s="15" t="s">
        <v>9</v>
      </c>
      <c r="E39" s="18">
        <f>-(IF(2027-2027&lt;'03 Strategy'!E34,'03 Strategy'!E30/'03 Strategy'!E34,0))</f>
        <v>-4133.333333333333</v>
      </c>
      <c r="F39" s="18">
        <f>-(IF(2028-2027&lt;'03 Strategy'!E34,'03 Strategy'!E30/'03 Strategy'!E34,0)+IF(2028-2028&lt;'03 Strategy'!F34,'03 Strategy'!F30/'03 Strategy'!F34,0))</f>
        <v>-10783.333333333332</v>
      </c>
      <c r="G39" s="18">
        <f>-(IF(2029-2027&lt;'03 Strategy'!E34,'03 Strategy'!E30/'03 Strategy'!E34,0)+IF(2029-2028&lt;'03 Strategy'!F34,'03 Strategy'!F30/'03 Strategy'!F34,0)+IF(2029-2029&lt;'03 Strategy'!G34,'03 Strategy'!G30/'03 Strategy'!G34,0))</f>
        <v>-21008.333333333332</v>
      </c>
      <c r="H39" s="18">
        <f>-(IF(2030-2027&lt;'03 Strategy'!E34,'03 Strategy'!E30/'03 Strategy'!E34,0)+IF(2030-2028&lt;'03 Strategy'!F34,'03 Strategy'!F30/'03 Strategy'!F34,0)+IF(2030-2029&lt;'03 Strategy'!G34,'03 Strategy'!G30/'03 Strategy'!G34,0)+IF(2030-2030&lt;'03 Strategy'!H34,'03 Strategy'!H30/'03 Strategy'!H34,0))</f>
        <v>-24700</v>
      </c>
      <c r="J39" s="72"/>
    </row>
    <row r="40" spans="3:10" x14ac:dyDescent="0.25">
      <c r="C40" s="10" t="s">
        <v>277</v>
      </c>
      <c r="D40" s="11" t="s">
        <v>9</v>
      </c>
      <c r="E40" s="32">
        <f>E35+E39</f>
        <v>739077.80325203249</v>
      </c>
      <c r="F40" s="32">
        <f>F35+F39</f>
        <v>6352846.2544715451</v>
      </c>
      <c r="G40" s="32">
        <f>G35+G39</f>
        <v>15926223.008130083</v>
      </c>
      <c r="H40" s="32">
        <f>H35+H39</f>
        <v>24281534.297560975</v>
      </c>
      <c r="J40" s="73"/>
    </row>
    <row r="41" spans="3:10" x14ac:dyDescent="0.25">
      <c r="C41" s="10" t="s">
        <v>278</v>
      </c>
      <c r="D41" s="11" t="s">
        <v>9</v>
      </c>
      <c r="E41" s="32">
        <f>E40</f>
        <v>739077.80325203249</v>
      </c>
      <c r="F41" s="32">
        <f>F40</f>
        <v>6352846.2544715451</v>
      </c>
      <c r="G41" s="32">
        <f>G40</f>
        <v>15926223.008130083</v>
      </c>
      <c r="H41" s="32">
        <f>H40</f>
        <v>24281534.297560975</v>
      </c>
      <c r="J41" s="73"/>
    </row>
    <row r="42" spans="3:10" x14ac:dyDescent="0.25">
      <c r="C42" s="14" t="s">
        <v>279</v>
      </c>
      <c r="D42" s="15" t="s">
        <v>9</v>
      </c>
      <c r="E42" s="18">
        <f>-(MAX(0,SUM($E40:E40))-0)*'03 Strategy'!E35</f>
        <v>-147815.56065040649</v>
      </c>
      <c r="F42" s="18">
        <f>-(MAX(0,SUM($E40:F40))-MAX(0,SUM($E40:E40)))*'03 Strategy'!F35</f>
        <v>-1270569.2508943093</v>
      </c>
      <c r="G42" s="18">
        <f>-(MAX(0,SUM($E40:G40))-MAX(0,SUM($E40:F40)))*'03 Strategy'!G35</f>
        <v>-3185244.6016260171</v>
      </c>
      <c r="H42" s="18">
        <f>-(MAX(0,SUM($E40:H40))-MAX(0,SUM($E40:G40)))*'03 Strategy'!H35</f>
        <v>-4856306.859512195</v>
      </c>
      <c r="J42" s="72"/>
    </row>
    <row r="43" spans="3:10" x14ac:dyDescent="0.25">
      <c r="C43" s="10" t="s">
        <v>280</v>
      </c>
      <c r="D43" s="11" t="s">
        <v>9</v>
      </c>
      <c r="E43" s="32">
        <f>SUM(E41:E42)</f>
        <v>591262.24260162597</v>
      </c>
      <c r="F43" s="32">
        <f>SUM(F41:F42)</f>
        <v>5082277.0035772361</v>
      </c>
      <c r="G43" s="32">
        <f>SUM(G41:G42)</f>
        <v>12740978.406504065</v>
      </c>
      <c r="H43" s="32">
        <f>SUM(H41:H42)</f>
        <v>19425227.43804878</v>
      </c>
      <c r="J43" s="73"/>
    </row>
  </sheetData>
  <conditionalFormatting sqref="E6:H43">
    <cfRule type="expression" dxfId="7" priority="2">
      <formula>E6="PASS"</formula>
    </cfRule>
    <cfRule type="expression" dxfId="6" priority="3">
      <formula>OR(E6="NOT MET",E6="CHECK",E6="ERROR",E6="OVER CAP",E6="REVIEW (&gt;60%)")</formula>
    </cfRule>
  </conditionalFormatting>
  <pageMargins left="0.4" right="0.4" top="0.5" bottom="0.5" header="0.511811023622047" footer="0.51180555555555596"/>
  <pageSetup paperSize="9" fitToHeight="0" orientation="landscape" horizontalDpi="300" verticalDpi="300"/>
  <headerFooter>
    <oddFooter>&amp;C&amp;8 &amp;A  ·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A8F85"/>
    <pageSetUpPr fitToPage="1"/>
  </sheetPr>
  <dimension ref="C2:J47"/>
  <sheetViews>
    <sheetView showGridLines="0" zoomScale="110" zoomScaleNormal="110" workbookViewId="0">
      <pane xSplit="4" ySplit="6" topLeftCell="E21" activePane="bottomRight" state="frozen"/>
      <selection activeCell="H59" sqref="H59"/>
      <selection pane="topRight" activeCell="H59" sqref="H59"/>
      <selection pane="bottomLeft" activeCell="H59" sqref="H59"/>
      <selection pane="bottomRight" activeCell="F50" sqref="F50"/>
    </sheetView>
  </sheetViews>
  <sheetFormatPr defaultColWidth="8.7109375" defaultRowHeight="15" x14ac:dyDescent="0.25"/>
  <cols>
    <col min="1" max="2" width="2" customWidth="1"/>
    <col min="3" max="3" width="60" customWidth="1"/>
    <col min="4" max="4" width="13" customWidth="1"/>
    <col min="5" max="8" width="15.42578125" customWidth="1"/>
    <col min="9" max="9" width="2" customWidth="1"/>
    <col min="10" max="10" width="91" customWidth="1"/>
    <col min="11" max="13" width="9" customWidth="1"/>
  </cols>
  <sheetData>
    <row r="2" spans="3:10" ht="19.5" x14ac:dyDescent="0.25">
      <c r="C2" s="1" t="s">
        <v>281</v>
      </c>
      <c r="D2" s="2"/>
      <c r="E2" s="2"/>
      <c r="F2" s="2"/>
      <c r="G2" s="2"/>
      <c r="H2" s="2"/>
      <c r="I2" s="2"/>
      <c r="J2" s="2"/>
    </row>
    <row r="3" spans="3:10" x14ac:dyDescent="0.25">
      <c r="C3" s="4" t="s">
        <v>282</v>
      </c>
    </row>
    <row r="4" spans="3:10" x14ac:dyDescent="0.25">
      <c r="C4" s="4" t="s">
        <v>283</v>
      </c>
    </row>
    <row r="5" spans="3:10" x14ac:dyDescent="0.25">
      <c r="C5" s="49"/>
      <c r="D5" s="49"/>
      <c r="E5" s="49"/>
      <c r="F5" s="49"/>
      <c r="G5" s="49"/>
      <c r="H5" s="49"/>
      <c r="I5" s="49"/>
    </row>
    <row r="6" spans="3:10" x14ac:dyDescent="0.25">
      <c r="C6" s="6" t="s">
        <v>4</v>
      </c>
      <c r="D6" s="7" t="s">
        <v>5</v>
      </c>
      <c r="E6" s="7">
        <v>2027</v>
      </c>
      <c r="F6" s="7">
        <v>2028</v>
      </c>
      <c r="G6" s="7">
        <v>2029</v>
      </c>
      <c r="H6" s="7">
        <v>2030</v>
      </c>
      <c r="J6" s="6" t="s">
        <v>6</v>
      </c>
    </row>
    <row r="7" spans="3:10" x14ac:dyDescent="0.25">
      <c r="C7" s="49"/>
      <c r="D7" s="49"/>
      <c r="E7" s="50"/>
      <c r="F7" s="50"/>
      <c r="G7" s="50"/>
      <c r="H7" s="50"/>
      <c r="I7" s="49"/>
    </row>
    <row r="8" spans="3:10" x14ac:dyDescent="0.25">
      <c r="C8" s="8" t="s">
        <v>284</v>
      </c>
      <c r="D8" s="8"/>
      <c r="E8" s="8"/>
      <c r="F8" s="8"/>
      <c r="G8" s="8"/>
      <c r="H8" s="8"/>
      <c r="J8" s="8"/>
    </row>
    <row r="9" spans="3:10" x14ac:dyDescent="0.25">
      <c r="C9" s="14" t="s">
        <v>285</v>
      </c>
      <c r="D9" s="15" t="s">
        <v>9</v>
      </c>
      <c r="E9" s="18">
        <f>'05 P&amp;L'!E43</f>
        <v>591262.24260162597</v>
      </c>
      <c r="F9" s="18">
        <f>'05 P&amp;L'!F43</f>
        <v>5082277.0035772361</v>
      </c>
      <c r="G9" s="18">
        <f>'05 P&amp;L'!G43</f>
        <v>12740978.406504065</v>
      </c>
      <c r="H9" s="18">
        <f>'05 P&amp;L'!H43</f>
        <v>19425227.43804878</v>
      </c>
      <c r="I9" s="49"/>
      <c r="J9" s="17"/>
    </row>
    <row r="10" spans="3:10" x14ac:dyDescent="0.25">
      <c r="C10" s="14" t="s">
        <v>286</v>
      </c>
      <c r="D10" s="15" t="s">
        <v>9</v>
      </c>
      <c r="E10" s="18">
        <f>-'05 P&amp;L'!E39</f>
        <v>4133.333333333333</v>
      </c>
      <c r="F10" s="18">
        <f>-'05 P&amp;L'!F39</f>
        <v>10783.333333333332</v>
      </c>
      <c r="G10" s="18">
        <f>-'05 P&amp;L'!G39</f>
        <v>21008.333333333332</v>
      </c>
      <c r="H10" s="18">
        <f>-'05 P&amp;L'!H39</f>
        <v>24700</v>
      </c>
      <c r="I10" s="49"/>
      <c r="J10" s="17"/>
    </row>
    <row r="11" spans="3:10" x14ac:dyDescent="0.25">
      <c r="C11" s="14" t="s">
        <v>287</v>
      </c>
      <c r="D11" s="15" t="s">
        <v>9</v>
      </c>
      <c r="E11" s="45">
        <f>E26</f>
        <v>-118209.90246575342</v>
      </c>
      <c r="F11" s="45">
        <f>F26</f>
        <v>-324442.00675799086</v>
      </c>
      <c r="G11" s="45">
        <f>G26</f>
        <v>-930915.94465753448</v>
      </c>
      <c r="H11" s="45">
        <f>H26</f>
        <v>-692278.19835616439</v>
      </c>
      <c r="I11" s="49"/>
      <c r="J11" s="17"/>
    </row>
    <row r="12" spans="3:10" x14ac:dyDescent="0.25">
      <c r="C12" s="14" t="s">
        <v>288</v>
      </c>
      <c r="D12" s="15" t="s">
        <v>9</v>
      </c>
      <c r="E12" s="45">
        <f>E28</f>
        <v>-37187.552992069228</v>
      </c>
      <c r="F12" s="45">
        <f>F28</f>
        <v>-73083.871505247371</v>
      </c>
      <c r="G12" s="45">
        <f>G28</f>
        <v>-245178.06681086263</v>
      </c>
      <c r="H12" s="45">
        <f>H28</f>
        <v>-179146.54361932201</v>
      </c>
      <c r="I12" s="49"/>
      <c r="J12" s="17"/>
    </row>
    <row r="13" spans="3:10" x14ac:dyDescent="0.25">
      <c r="C13" s="51"/>
      <c r="D13" s="51"/>
      <c r="E13" s="52"/>
      <c r="F13" s="52"/>
      <c r="G13" s="52"/>
      <c r="H13" s="52"/>
      <c r="I13" s="49"/>
    </row>
    <row r="14" spans="3:10" x14ac:dyDescent="0.25">
      <c r="C14" s="10" t="s">
        <v>289</v>
      </c>
      <c r="D14" s="11" t="s">
        <v>9</v>
      </c>
      <c r="E14" s="32">
        <f>SUM(E9:E13)</f>
        <v>439998.12047713669</v>
      </c>
      <c r="F14" s="32">
        <f>SUM(F9:F13)</f>
        <v>4695534.4586473312</v>
      </c>
      <c r="G14" s="32">
        <f>SUM(G9:G13)</f>
        <v>11585892.728369001</v>
      </c>
      <c r="H14" s="32">
        <f>SUM(H9:H13)</f>
        <v>18578502.696073294</v>
      </c>
      <c r="I14" s="49"/>
      <c r="J14" s="13"/>
    </row>
    <row r="15" spans="3:10" x14ac:dyDescent="0.25">
      <c r="C15" s="51"/>
      <c r="D15" s="51"/>
      <c r="E15" s="52"/>
      <c r="F15" s="52"/>
      <c r="G15" s="52"/>
      <c r="H15" s="52"/>
      <c r="I15" s="49"/>
    </row>
    <row r="16" spans="3:10" x14ac:dyDescent="0.25">
      <c r="C16" s="8" t="s">
        <v>290</v>
      </c>
      <c r="D16" s="8"/>
      <c r="E16" s="8"/>
      <c r="F16" s="8"/>
      <c r="G16" s="8"/>
      <c r="H16" s="8"/>
      <c r="J16" s="8"/>
    </row>
    <row r="17" spans="3:10" x14ac:dyDescent="0.25">
      <c r="C17" s="14" t="s">
        <v>291</v>
      </c>
      <c r="D17" s="15" t="s">
        <v>9</v>
      </c>
      <c r="E17" s="45">
        <f>E40</f>
        <v>-12400</v>
      </c>
      <c r="F17" s="45">
        <f>F40</f>
        <v>-19950</v>
      </c>
      <c r="G17" s="45">
        <f>G40</f>
        <v>-30675</v>
      </c>
      <c r="H17" s="45">
        <f>H40</f>
        <v>-23475</v>
      </c>
      <c r="I17" s="49"/>
      <c r="J17" s="17"/>
    </row>
    <row r="18" spans="3:10" x14ac:dyDescent="0.25">
      <c r="C18" s="10" t="s">
        <v>292</v>
      </c>
      <c r="D18" s="11" t="s">
        <v>9</v>
      </c>
      <c r="E18" s="32">
        <f>E17</f>
        <v>-12400</v>
      </c>
      <c r="F18" s="32">
        <f>F17</f>
        <v>-19950</v>
      </c>
      <c r="G18" s="32">
        <f>G17</f>
        <v>-30675</v>
      </c>
      <c r="H18" s="32">
        <f>H17</f>
        <v>-23475</v>
      </c>
      <c r="I18" s="49"/>
      <c r="J18" s="13"/>
    </row>
    <row r="19" spans="3:10" x14ac:dyDescent="0.25">
      <c r="C19" s="51"/>
      <c r="D19" s="51"/>
      <c r="E19" s="52"/>
      <c r="F19" s="52"/>
      <c r="G19" s="52"/>
      <c r="H19" s="52"/>
      <c r="I19" s="49"/>
    </row>
    <row r="20" spans="3:10" x14ac:dyDescent="0.25">
      <c r="C20" s="10" t="s">
        <v>293</v>
      </c>
      <c r="D20" s="11" t="s">
        <v>9</v>
      </c>
      <c r="E20" s="32">
        <f>SUM(E14,E18)</f>
        <v>427598.12047713669</v>
      </c>
      <c r="F20" s="32">
        <f>SUM(F14,F18)</f>
        <v>4675584.4586473312</v>
      </c>
      <c r="G20" s="32">
        <f>SUM(G14,G18)</f>
        <v>11555217.728369001</v>
      </c>
      <c r="H20" s="32">
        <f>SUM(H14,H18)</f>
        <v>18555027.696073294</v>
      </c>
      <c r="I20" s="49"/>
      <c r="J20" s="13"/>
    </row>
    <row r="21" spans="3:10" x14ac:dyDescent="0.25">
      <c r="C21" s="51"/>
      <c r="D21" s="51"/>
      <c r="E21" s="52"/>
      <c r="F21" s="52"/>
      <c r="G21" s="52"/>
      <c r="H21" s="52"/>
      <c r="I21" s="49"/>
    </row>
    <row r="22" spans="3:10" x14ac:dyDescent="0.25">
      <c r="C22" s="14" t="s">
        <v>294</v>
      </c>
      <c r="D22" s="15" t="s">
        <v>9</v>
      </c>
      <c r="E22" s="45">
        <f>ROUND(E12-E34,2)</f>
        <v>0</v>
      </c>
      <c r="F22" s="45">
        <f>ROUND(F12-F34,2)</f>
        <v>0</v>
      </c>
      <c r="G22" s="45">
        <f>ROUND(G12-G34,2)</f>
        <v>0</v>
      </c>
      <c r="H22" s="45">
        <f>ROUND(H12-H34,2)</f>
        <v>0</v>
      </c>
      <c r="I22" s="49"/>
      <c r="J22" s="17"/>
    </row>
    <row r="23" spans="3:10" x14ac:dyDescent="0.25">
      <c r="C23" s="49"/>
      <c r="D23" s="49"/>
      <c r="E23" s="50"/>
      <c r="F23" s="50"/>
      <c r="G23" s="50"/>
      <c r="H23" s="50"/>
      <c r="I23" s="49"/>
    </row>
    <row r="24" spans="3:10" x14ac:dyDescent="0.25">
      <c r="C24" s="8" t="s">
        <v>295</v>
      </c>
      <c r="D24" s="8"/>
      <c r="E24" s="8"/>
      <c r="F24" s="8"/>
      <c r="G24" s="8"/>
      <c r="H24" s="8"/>
      <c r="J24" s="8"/>
    </row>
    <row r="25" spans="3:10" x14ac:dyDescent="0.25">
      <c r="C25" s="14" t="s">
        <v>296</v>
      </c>
      <c r="D25" s="15" t="s">
        <v>9</v>
      </c>
      <c r="E25" s="18">
        <f>(('05 P&amp;L'!E11)*'01 Market'!E27*'03 Strategy'!E37+('05 P&amp;L'!E11)*(1-'01 Market'!E27)*'03 Strategy'!E38+('05 P&amp;L'!E12+'05 P&amp;L'!E13)*'03 Strategy'!E39)/('01 Market'!E8*365/12)</f>
        <v>118209.90246575342</v>
      </c>
      <c r="F25" s="18">
        <f>(('05 P&amp;L'!F11)*'01 Market'!F27*'03 Strategy'!F37+('05 P&amp;L'!F11)*(1-'01 Market'!F27)*'03 Strategy'!F38+('05 P&amp;L'!F12+'05 P&amp;L'!F13)*'03 Strategy'!F39)/('01 Market'!F8*365/12)</f>
        <v>442651.9092237443</v>
      </c>
      <c r="G25" s="18">
        <f>(('05 P&amp;L'!G11)*'01 Market'!G27*'03 Strategy'!G37+('05 P&amp;L'!G11)*(1-'01 Market'!G27)*'03 Strategy'!G38+('05 P&amp;L'!G12+'05 P&amp;L'!G13)*'03 Strategy'!G39)/('01 Market'!G8*365/12)</f>
        <v>1373567.8538812788</v>
      </c>
      <c r="H25" s="18">
        <f>(('05 P&amp;L'!H11)*'01 Market'!H27*'03 Strategy'!H37+('05 P&amp;L'!H11)*(1-'01 Market'!H27)*'03 Strategy'!H38+('05 P&amp;L'!H12+'05 P&amp;L'!H13)*'03 Strategy'!H39)/('01 Market'!H8*365/12)</f>
        <v>2065846.0522374432</v>
      </c>
      <c r="I25" s="49"/>
      <c r="J25" s="17"/>
    </row>
    <row r="26" spans="3:10" x14ac:dyDescent="0.25">
      <c r="C26" s="14" t="s">
        <v>297</v>
      </c>
      <c r="D26" s="15" t="s">
        <v>9</v>
      </c>
      <c r="E26" s="45">
        <f>-E25</f>
        <v>-118209.90246575342</v>
      </c>
      <c r="F26" s="45">
        <f>E25-F25</f>
        <v>-324442.00675799086</v>
      </c>
      <c r="G26" s="45">
        <f>F25-G25</f>
        <v>-930915.94465753448</v>
      </c>
      <c r="H26" s="45">
        <f>G25-H25</f>
        <v>-692278.19835616439</v>
      </c>
      <c r="I26" s="49"/>
      <c r="J26" s="17"/>
    </row>
    <row r="27" spans="3:10" x14ac:dyDescent="0.25">
      <c r="C27" s="14" t="s">
        <v>298</v>
      </c>
      <c r="D27" s="15" t="s">
        <v>9</v>
      </c>
      <c r="E27" s="18">
        <f>('04 Operations'!E26*'03 Strategy'!E37+'04 Operations'!E27*'03 Strategy'!E38)/('01 Market'!E8*365/12)</f>
        <v>37187.552992069228</v>
      </c>
      <c r="F27" s="18">
        <f>('04 Operations'!F26*'03 Strategy'!F37+'04 Operations'!F27*'03 Strategy'!F38)/('01 Market'!F8*365/12)</f>
        <v>110271.42449731659</v>
      </c>
      <c r="G27" s="18">
        <f>('04 Operations'!G26*'03 Strategy'!G37+'04 Operations'!G27*'03 Strategy'!G38)/('01 Market'!G8*365/12)</f>
        <v>355449.49130817922</v>
      </c>
      <c r="H27" s="18">
        <f>('04 Operations'!H26*'03 Strategy'!H37+'04 Operations'!H27*'03 Strategy'!H38)/('01 Market'!H8*365/12)</f>
        <v>534596.03492750123</v>
      </c>
      <c r="I27" s="49"/>
      <c r="J27" s="17"/>
    </row>
    <row r="28" spans="3:10" x14ac:dyDescent="0.25">
      <c r="C28" s="14" t="s">
        <v>299</v>
      </c>
      <c r="D28" s="15" t="s">
        <v>9</v>
      </c>
      <c r="E28" s="45">
        <f>-E27</f>
        <v>-37187.552992069228</v>
      </c>
      <c r="F28" s="45">
        <f>E27-F27</f>
        <v>-73083.871505247371</v>
      </c>
      <c r="G28" s="45">
        <f>F27-G27</f>
        <v>-245178.06681086263</v>
      </c>
      <c r="H28" s="45">
        <f>G27-H27</f>
        <v>-179146.54361932201</v>
      </c>
      <c r="I28" s="49"/>
      <c r="J28" s="17"/>
    </row>
    <row r="29" spans="3:10" x14ac:dyDescent="0.25">
      <c r="C29" s="51"/>
      <c r="D29" s="51"/>
      <c r="E29" s="52"/>
      <c r="F29" s="52"/>
      <c r="G29" s="52"/>
      <c r="H29" s="52"/>
      <c r="I29" s="49"/>
    </row>
    <row r="30" spans="3:10" x14ac:dyDescent="0.25">
      <c r="C30" s="8" t="s">
        <v>300</v>
      </c>
      <c r="D30" s="8"/>
      <c r="E30" s="53"/>
      <c r="F30" s="53"/>
      <c r="G30" s="53"/>
      <c r="H30" s="53"/>
      <c r="J30" s="8"/>
    </row>
    <row r="31" spans="3:10" x14ac:dyDescent="0.25">
      <c r="C31" s="14" t="s">
        <v>301</v>
      </c>
      <c r="D31" s="15" t="s">
        <v>9</v>
      </c>
      <c r="E31" s="18">
        <f>-'04 Operations'!E26</f>
        <v>-170298.94736842113</v>
      </c>
      <c r="F31" s="18">
        <f>-'04 Operations'!F26</f>
        <v>-1009967.3684210554</v>
      </c>
      <c r="G31" s="18">
        <f>-'04 Operations'!G26</f>
        <v>-2365263.157894738</v>
      </c>
      <c r="H31" s="18">
        <f>-'04 Operations'!H26</f>
        <v>-3557355.7894736826</v>
      </c>
      <c r="I31" s="49"/>
      <c r="J31" s="17"/>
    </row>
    <row r="32" spans="3:10" x14ac:dyDescent="0.25">
      <c r="C32" s="14" t="s">
        <v>302</v>
      </c>
      <c r="D32" s="15" t="s">
        <v>9</v>
      </c>
      <c r="E32" s="18">
        <f>-'04 Operations'!E27</f>
        <v>-239680</v>
      </c>
      <c r="F32" s="18">
        <f>-'04 Operations'!F27</f>
        <v>-1421435.555555556</v>
      </c>
      <c r="G32" s="18">
        <f>-'04 Operations'!G27</f>
        <v>-3328888.8888888881</v>
      </c>
      <c r="H32" s="18">
        <f>-'04 Operations'!H27</f>
        <v>-5006648.8888888881</v>
      </c>
      <c r="I32" s="49"/>
      <c r="J32" s="17"/>
    </row>
    <row r="33" spans="3:10" x14ac:dyDescent="0.25">
      <c r="C33" s="14" t="s">
        <v>303</v>
      </c>
      <c r="D33" s="15" t="s">
        <v>9</v>
      </c>
      <c r="E33" s="45">
        <f>-SUM(E31:E32)-E27</f>
        <v>372791.39437635191</v>
      </c>
      <c r="F33" s="45">
        <f>-SUM(F31:F32)+E27-F27</f>
        <v>2358319.0524713639</v>
      </c>
      <c r="G33" s="45">
        <f>-SUM(G31:G32)+F27-G27</f>
        <v>5448973.979972763</v>
      </c>
      <c r="H33" s="45">
        <f>-SUM(H31:H32)+G27-H27</f>
        <v>8384858.1347432481</v>
      </c>
      <c r="I33" s="49"/>
      <c r="J33" s="17"/>
    </row>
    <row r="34" spans="3:10" x14ac:dyDescent="0.25">
      <c r="C34" s="10" t="s">
        <v>304</v>
      </c>
      <c r="D34" s="11" t="s">
        <v>9</v>
      </c>
      <c r="E34" s="32">
        <f>SUM(E31:E33)</f>
        <v>-37187.552992069221</v>
      </c>
      <c r="F34" s="32">
        <f>SUM(F31:F33)</f>
        <v>-73083.871505247429</v>
      </c>
      <c r="G34" s="32">
        <f>SUM(G31:G33)</f>
        <v>-245178.06681086309</v>
      </c>
      <c r="H34" s="32">
        <f>SUM(H31:H33)</f>
        <v>-179146.54361932259</v>
      </c>
      <c r="I34" s="49"/>
      <c r="J34" s="13"/>
    </row>
    <row r="35" spans="3:10" x14ac:dyDescent="0.25">
      <c r="C35" s="51"/>
      <c r="D35" s="51"/>
      <c r="E35" s="52"/>
      <c r="F35" s="52"/>
      <c r="G35" s="52"/>
      <c r="H35" s="52"/>
      <c r="I35" s="49"/>
    </row>
    <row r="36" spans="3:10" x14ac:dyDescent="0.25">
      <c r="C36" s="8" t="s">
        <v>305</v>
      </c>
      <c r="D36" s="8"/>
      <c r="E36" s="53"/>
      <c r="F36" s="53"/>
      <c r="G36" s="53"/>
      <c r="H36" s="53"/>
      <c r="J36" s="8"/>
    </row>
    <row r="37" spans="3:10" ht="24" x14ac:dyDescent="0.25">
      <c r="C37" s="14" t="s">
        <v>306</v>
      </c>
      <c r="D37" s="15" t="s">
        <v>9</v>
      </c>
      <c r="E37" s="18">
        <f>'04 Operations'!E24</f>
        <v>526126.82926829252</v>
      </c>
      <c r="F37" s="18">
        <f>'04 Operations'!F24</f>
        <v>3120224.3902439028</v>
      </c>
      <c r="G37" s="18">
        <f>'04 Operations'!G24</f>
        <v>7307317.073170729</v>
      </c>
      <c r="H37" s="18">
        <f>'04 Operations'!H24</f>
        <v>10990204.878048778</v>
      </c>
      <c r="I37" s="49"/>
      <c r="J37" s="17" t="s">
        <v>307</v>
      </c>
    </row>
    <row r="38" spans="3:10" x14ac:dyDescent="0.25">
      <c r="C38" s="51"/>
      <c r="D38" s="51"/>
      <c r="E38" s="52"/>
      <c r="F38" s="52"/>
      <c r="G38" s="52"/>
      <c r="H38" s="52"/>
      <c r="I38" s="49"/>
    </row>
    <row r="39" spans="3:10" x14ac:dyDescent="0.25">
      <c r="C39" s="8" t="s">
        <v>308</v>
      </c>
      <c r="D39" s="8"/>
      <c r="E39" s="53"/>
      <c r="F39" s="53"/>
      <c r="G39" s="53"/>
      <c r="H39" s="53"/>
      <c r="J39" s="8"/>
    </row>
    <row r="40" spans="3:10" x14ac:dyDescent="0.25">
      <c r="C40" s="14" t="s">
        <v>309</v>
      </c>
      <c r="D40" s="15" t="s">
        <v>9</v>
      </c>
      <c r="E40" s="18">
        <f>-'03 Strategy'!E30</f>
        <v>-12400</v>
      </c>
      <c r="F40" s="18">
        <f>-'03 Strategy'!F30</f>
        <v>-19950</v>
      </c>
      <c r="G40" s="18">
        <f>-'03 Strategy'!G30</f>
        <v>-30675</v>
      </c>
      <c r="H40" s="18">
        <f>-'03 Strategy'!H30</f>
        <v>-23475</v>
      </c>
      <c r="J40" s="17"/>
    </row>
    <row r="41" spans="3:10" x14ac:dyDescent="0.25">
      <c r="C41" s="10" t="s">
        <v>13</v>
      </c>
      <c r="D41" s="11" t="s">
        <v>9</v>
      </c>
      <c r="E41" s="32">
        <f>E20</f>
        <v>427598.12047713669</v>
      </c>
      <c r="F41" s="32">
        <f>E41+F20</f>
        <v>5103182.5791244674</v>
      </c>
      <c r="G41" s="32">
        <f>F41+G20</f>
        <v>16658400.307493469</v>
      </c>
      <c r="H41" s="32">
        <f>G41+H20</f>
        <v>35213428.003566764</v>
      </c>
      <c r="J41" s="13"/>
    </row>
    <row r="42" spans="3:10" x14ac:dyDescent="0.25">
      <c r="C42" s="14" t="s">
        <v>310</v>
      </c>
      <c r="D42" s="15" t="s">
        <v>9</v>
      </c>
      <c r="E42" s="45">
        <f>-MIN(0,$E$41:$H$41)</f>
        <v>0</v>
      </c>
      <c r="F42" s="45"/>
      <c r="G42" s="45"/>
      <c r="H42" s="45"/>
      <c r="J42" s="17"/>
    </row>
    <row r="43" spans="3:10" x14ac:dyDescent="0.25">
      <c r="C43" s="14" t="s">
        <v>311</v>
      </c>
      <c r="D43" s="15" t="s">
        <v>35</v>
      </c>
      <c r="E43" s="54">
        <f>IF(E41&gt;=0,2027,IF(F41&gt;=0,2028,IF(G41&gt;=0,2029,IF(H41&gt;=0,2030,"After 2030"))))</f>
        <v>2027</v>
      </c>
      <c r="F43" s="45"/>
      <c r="G43" s="45"/>
      <c r="H43" s="45"/>
      <c r="J43" s="17"/>
    </row>
    <row r="44" spans="3:10" x14ac:dyDescent="0.25">
      <c r="C44" s="51"/>
      <c r="D44" s="51"/>
      <c r="E44" s="52"/>
      <c r="F44" s="52"/>
      <c r="G44" s="52"/>
      <c r="H44" s="52"/>
    </row>
    <row r="45" spans="3:10" x14ac:dyDescent="0.25">
      <c r="C45" s="8" t="s">
        <v>312</v>
      </c>
      <c r="D45" s="8"/>
      <c r="E45" s="53"/>
      <c r="F45" s="53"/>
      <c r="G45" s="53"/>
      <c r="H45" s="53"/>
      <c r="J45" s="8"/>
    </row>
    <row r="46" spans="3:10" ht="29.25" customHeight="1" x14ac:dyDescent="0.25">
      <c r="C46" s="10" t="s">
        <v>313</v>
      </c>
      <c r="D46" s="11" t="s">
        <v>9</v>
      </c>
      <c r="E46" s="12">
        <f>'04 Operations'!E30*'03 Strategy'!E40/('01 Market'!E8*365/12)</f>
        <v>377179.39726027398</v>
      </c>
      <c r="F46" s="12">
        <f>'04 Operations'!F30*'03 Strategy'!F40/('01 Market'!F8*365/12)</f>
        <v>1118441.6849315071</v>
      </c>
      <c r="G46" s="12">
        <f>'04 Operations'!G30*'03 Strategy'!G40/('01 Market'!G8*365/12)</f>
        <v>2619301.3698630133</v>
      </c>
      <c r="H46" s="12">
        <f>'04 Operations'!H30*'03 Strategy'!H40/('01 Market'!H8*365/12)</f>
        <v>3939429.2602739725</v>
      </c>
      <c r="J46" s="13" t="s">
        <v>314</v>
      </c>
    </row>
    <row r="47" spans="3:10" x14ac:dyDescent="0.25">
      <c r="C47" s="14" t="s">
        <v>315</v>
      </c>
      <c r="D47" s="15" t="s">
        <v>9</v>
      </c>
      <c r="E47" s="45">
        <f>E46</f>
        <v>377179.39726027398</v>
      </c>
      <c r="F47" s="45">
        <f>F46-E46</f>
        <v>741262.28767123306</v>
      </c>
      <c r="G47" s="45">
        <f>G46-F46</f>
        <v>1500859.6849315062</v>
      </c>
      <c r="H47" s="45">
        <f>H46-G46</f>
        <v>1320127.8904109593</v>
      </c>
      <c r="J47" s="17" t="s">
        <v>316</v>
      </c>
    </row>
  </sheetData>
  <conditionalFormatting sqref="E7:H47">
    <cfRule type="expression" dxfId="5" priority="2">
      <formula>E7="PASS"</formula>
    </cfRule>
    <cfRule type="expression" dxfId="4" priority="3">
      <formula>OR(E7="NOT MET",E7="CHECK",E7="ERROR",E7="OVER CAP",E7="REVIEW (&gt;60%)")</formula>
    </cfRule>
  </conditionalFormatting>
  <pageMargins left="0.4" right="0.4" top="0.5" bottom="0.5" header="0.511811023622047" footer="0.51180555555555596"/>
  <pageSetup paperSize="9" fitToHeight="0" orientation="landscape" horizontalDpi="300" verticalDpi="300"/>
  <headerFooter>
    <oddFooter>&amp;C&amp;8 &amp;A  ·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A227"/>
    <pageSetUpPr fitToPage="1"/>
  </sheetPr>
  <dimension ref="C2:J64"/>
  <sheetViews>
    <sheetView showGridLines="0" zoomScale="110" zoomScaleNormal="110" workbookViewId="0">
      <pane xSplit="4" ySplit="6" topLeftCell="E28" activePane="bottomRight" state="frozen"/>
      <selection activeCell="H59" sqref="H59"/>
      <selection pane="topRight" activeCell="H59" sqref="H59"/>
      <selection pane="bottomLeft" activeCell="H59" sqref="H59"/>
      <selection pane="bottomRight" activeCell="P59" sqref="P59"/>
    </sheetView>
  </sheetViews>
  <sheetFormatPr defaultColWidth="8.7109375" defaultRowHeight="15" x14ac:dyDescent="0.25"/>
  <cols>
    <col min="1" max="2" width="2" customWidth="1"/>
    <col min="3" max="3" width="60" customWidth="1"/>
    <col min="4" max="4" width="13" customWidth="1"/>
    <col min="5" max="8" width="15.42578125" customWidth="1"/>
    <col min="9" max="9" width="2" customWidth="1"/>
    <col min="10" max="10" width="16" customWidth="1"/>
    <col min="11" max="13" width="9" customWidth="1"/>
  </cols>
  <sheetData>
    <row r="2" spans="3:10" ht="19.5" x14ac:dyDescent="0.3">
      <c r="C2" s="1" t="s">
        <v>317</v>
      </c>
      <c r="D2" s="55"/>
      <c r="E2" s="55"/>
      <c r="F2" s="55"/>
      <c r="G2" s="55"/>
      <c r="H2" s="55"/>
      <c r="I2" s="55"/>
      <c r="J2" s="55"/>
    </row>
    <row r="3" spans="3:10" x14ac:dyDescent="0.25">
      <c r="C3" s="4" t="s">
        <v>318</v>
      </c>
      <c r="D3" s="56"/>
      <c r="E3" s="56"/>
      <c r="F3" s="56"/>
      <c r="G3" s="56"/>
      <c r="H3" s="56"/>
      <c r="I3" s="56"/>
      <c r="J3" s="56"/>
    </row>
    <row r="4" spans="3:10" x14ac:dyDescent="0.25">
      <c r="C4" s="4" t="s">
        <v>319</v>
      </c>
      <c r="D4" s="56"/>
      <c r="E4" s="56"/>
      <c r="F4" s="56"/>
      <c r="G4" s="56"/>
      <c r="H4" s="56"/>
      <c r="I4" s="56"/>
      <c r="J4" s="56"/>
    </row>
    <row r="5" spans="3:10" x14ac:dyDescent="0.25">
      <c r="C5" s="51"/>
      <c r="D5" s="51"/>
      <c r="E5" s="51"/>
      <c r="F5" s="51"/>
      <c r="G5" s="51"/>
      <c r="H5" s="51"/>
      <c r="I5" s="51"/>
      <c r="J5" s="51"/>
    </row>
    <row r="6" spans="3:10" x14ac:dyDescent="0.25">
      <c r="C6" s="6" t="s">
        <v>4</v>
      </c>
      <c r="D6" s="7" t="s">
        <v>5</v>
      </c>
      <c r="E6" s="7">
        <v>2027</v>
      </c>
      <c r="F6" s="7">
        <v>2028</v>
      </c>
      <c r="G6" s="7">
        <v>2029</v>
      </c>
      <c r="H6" s="7">
        <v>2030</v>
      </c>
      <c r="I6" s="51"/>
      <c r="J6" s="7" t="s">
        <v>320</v>
      </c>
    </row>
    <row r="7" spans="3:10" x14ac:dyDescent="0.25">
      <c r="C7" s="51"/>
      <c r="D7" s="51"/>
      <c r="E7" s="51"/>
      <c r="F7" s="51"/>
      <c r="G7" s="51"/>
      <c r="H7" s="51"/>
      <c r="I7" s="51"/>
      <c r="J7" s="51"/>
    </row>
    <row r="8" spans="3:10" x14ac:dyDescent="0.25">
      <c r="C8" s="8" t="s">
        <v>321</v>
      </c>
      <c r="D8" s="8"/>
      <c r="E8" s="53"/>
      <c r="F8" s="53"/>
      <c r="G8" s="53"/>
      <c r="H8" s="53"/>
      <c r="I8" s="51"/>
      <c r="J8" s="8"/>
    </row>
    <row r="9" spans="3:10" x14ac:dyDescent="0.25">
      <c r="C9" s="10" t="s">
        <v>46</v>
      </c>
      <c r="D9" s="11" t="s">
        <v>12</v>
      </c>
      <c r="E9" s="57">
        <f>INDEX(E10:E12,MATCH($J$9,$C$10:$C$12,0))</f>
        <v>0</v>
      </c>
      <c r="F9" s="57">
        <f>INDEX(F10:F12,MATCH($J$9,$C$10:$C$12,0))</f>
        <v>0.5</v>
      </c>
      <c r="G9" s="57">
        <f>INDEX(G10:G12,MATCH($J$9,$C$10:$C$12,0))</f>
        <v>0.7</v>
      </c>
      <c r="H9" s="57">
        <f>INDEX(H10:H12,MATCH($J$9,$C$10:$C$12,0))</f>
        <v>0.8</v>
      </c>
      <c r="I9" s="51"/>
      <c r="J9" s="58" t="s">
        <v>322</v>
      </c>
    </row>
    <row r="10" spans="3:10" x14ac:dyDescent="0.25">
      <c r="C10" s="59" t="s">
        <v>323</v>
      </c>
      <c r="D10" s="15"/>
      <c r="E10" s="60"/>
      <c r="F10" s="61">
        <v>0.375</v>
      </c>
      <c r="G10" s="61">
        <v>0.52500000000000002</v>
      </c>
      <c r="H10" s="61">
        <v>0.6</v>
      </c>
      <c r="I10" s="51"/>
      <c r="J10" s="51"/>
    </row>
    <row r="11" spans="3:10" x14ac:dyDescent="0.25">
      <c r="C11" s="59" t="s">
        <v>322</v>
      </c>
      <c r="D11" s="15"/>
      <c r="E11" s="60"/>
      <c r="F11" s="61">
        <v>0.5</v>
      </c>
      <c r="G11" s="61">
        <v>0.7</v>
      </c>
      <c r="H11" s="61">
        <v>0.8</v>
      </c>
      <c r="I11" s="51"/>
      <c r="J11" s="51"/>
    </row>
    <row r="12" spans="3:10" x14ac:dyDescent="0.25">
      <c r="C12" s="59" t="s">
        <v>324</v>
      </c>
      <c r="D12" s="15"/>
      <c r="E12" s="60"/>
      <c r="F12" s="61">
        <v>0.6</v>
      </c>
      <c r="G12" s="61">
        <v>0.8</v>
      </c>
      <c r="H12" s="61">
        <v>0.85</v>
      </c>
      <c r="I12" s="51"/>
      <c r="J12" s="51"/>
    </row>
    <row r="14" spans="3:10" x14ac:dyDescent="0.25">
      <c r="C14" s="8" t="s">
        <v>325</v>
      </c>
      <c r="D14" s="8"/>
      <c r="E14" s="53"/>
      <c r="F14" s="53"/>
      <c r="G14" s="53"/>
      <c r="H14" s="53"/>
      <c r="I14" s="51"/>
      <c r="J14" s="8"/>
    </row>
    <row r="15" spans="3:10" x14ac:dyDescent="0.25">
      <c r="C15" s="10" t="s">
        <v>326</v>
      </c>
      <c r="D15" s="11" t="s">
        <v>23</v>
      </c>
      <c r="E15" s="62">
        <f>INDEX(E16:E18,MATCH($J$15,$C$16:$C$18,0))</f>
        <v>0</v>
      </c>
      <c r="F15" s="62">
        <f>INDEX(F16:F18,MATCH($J$15,$C$16:$C$18,0))</f>
        <v>0</v>
      </c>
      <c r="G15" s="62">
        <f>INDEX(G16:G18,MATCH($J$15,$C$16:$C$18,0))</f>
        <v>30</v>
      </c>
      <c r="H15" s="62">
        <f>INDEX(H16:H18,MATCH($J$15,$C$16:$C$18,0))</f>
        <v>50</v>
      </c>
      <c r="I15" s="51"/>
      <c r="J15" s="58" t="s">
        <v>322</v>
      </c>
    </row>
    <row r="16" spans="3:10" x14ac:dyDescent="0.25">
      <c r="C16" s="59" t="s">
        <v>323</v>
      </c>
      <c r="D16" s="15"/>
      <c r="E16" s="63">
        <v>0</v>
      </c>
      <c r="F16" s="63">
        <v>0</v>
      </c>
      <c r="G16" s="54">
        <f>ROUND(G17*75%,0)</f>
        <v>23</v>
      </c>
      <c r="H16" s="54">
        <f>ROUND(H17*75%,0)</f>
        <v>38</v>
      </c>
      <c r="I16" s="51"/>
      <c r="J16" s="51"/>
    </row>
    <row r="17" spans="3:10" x14ac:dyDescent="0.25">
      <c r="C17" s="59" t="s">
        <v>322</v>
      </c>
      <c r="D17" s="15"/>
      <c r="E17" s="63">
        <v>0</v>
      </c>
      <c r="F17" s="63">
        <v>0</v>
      </c>
      <c r="G17" s="63">
        <v>30</v>
      </c>
      <c r="H17" s="63">
        <v>50</v>
      </c>
      <c r="I17" s="51"/>
      <c r="J17" s="51"/>
    </row>
    <row r="18" spans="3:10" x14ac:dyDescent="0.25">
      <c r="C18" s="59" t="s">
        <v>324</v>
      </c>
      <c r="D18" s="15"/>
      <c r="E18" s="63">
        <v>0</v>
      </c>
      <c r="F18" s="63">
        <v>0</v>
      </c>
      <c r="G18" s="54">
        <f>ROUND(G17*125%,0)</f>
        <v>38</v>
      </c>
      <c r="H18" s="54">
        <f>ROUND(H17*125%,0)</f>
        <v>63</v>
      </c>
      <c r="I18" s="51"/>
      <c r="J18" s="51"/>
    </row>
    <row r="20" spans="3:10" x14ac:dyDescent="0.25">
      <c r="C20" s="8" t="s">
        <v>327</v>
      </c>
      <c r="D20" s="8"/>
      <c r="E20" s="53"/>
      <c r="F20" s="53"/>
      <c r="G20" s="53"/>
      <c r="H20" s="53"/>
      <c r="I20" s="51"/>
      <c r="J20" s="8"/>
    </row>
    <row r="21" spans="3:10" x14ac:dyDescent="0.25">
      <c r="C21" s="10" t="s">
        <v>58</v>
      </c>
      <c r="D21" s="11" t="s">
        <v>12</v>
      </c>
      <c r="E21" s="57">
        <f>INDEX(E22:E24,MATCH($J$21,$C$22:$C$24,0))</f>
        <v>0.2</v>
      </c>
      <c r="F21" s="57">
        <f>INDEX(F22:F24,MATCH($J$21,$C$22:$C$24,0))</f>
        <v>0.2</v>
      </c>
      <c r="G21" s="57">
        <f>INDEX(G22:G24,MATCH($J$21,$C$22:$C$24,0))</f>
        <v>0.2</v>
      </c>
      <c r="H21" s="57">
        <f>INDEX(H22:H24,MATCH($J$21,$C$22:$C$24,0))</f>
        <v>0.2</v>
      </c>
      <c r="I21" s="51"/>
      <c r="J21" s="58" t="s">
        <v>322</v>
      </c>
    </row>
    <row r="22" spans="3:10" x14ac:dyDescent="0.25">
      <c r="C22" s="59" t="s">
        <v>323</v>
      </c>
      <c r="D22" s="15"/>
      <c r="E22" s="61">
        <v>0.15</v>
      </c>
      <c r="F22" s="61">
        <v>0.15</v>
      </c>
      <c r="G22" s="61">
        <v>0.15</v>
      </c>
      <c r="H22" s="61">
        <v>0.15</v>
      </c>
      <c r="I22" s="51"/>
      <c r="J22" s="51"/>
    </row>
    <row r="23" spans="3:10" x14ac:dyDescent="0.25">
      <c r="C23" s="59" t="s">
        <v>322</v>
      </c>
      <c r="D23" s="15"/>
      <c r="E23" s="61">
        <v>0.2</v>
      </c>
      <c r="F23" s="61">
        <v>0.2</v>
      </c>
      <c r="G23" s="61">
        <v>0.2</v>
      </c>
      <c r="H23" s="61">
        <v>0.2</v>
      </c>
      <c r="I23" s="51"/>
      <c r="J23" s="51"/>
    </row>
    <row r="24" spans="3:10" x14ac:dyDescent="0.25">
      <c r="C24" s="59" t="s">
        <v>324</v>
      </c>
      <c r="D24" s="15"/>
      <c r="E24" s="61">
        <v>0.25</v>
      </c>
      <c r="F24" s="61">
        <v>0.25</v>
      </c>
      <c r="G24" s="61">
        <v>0.25</v>
      </c>
      <c r="H24" s="61">
        <v>0.25</v>
      </c>
      <c r="I24" s="51"/>
      <c r="J24" s="51"/>
    </row>
    <row r="26" spans="3:10" x14ac:dyDescent="0.25">
      <c r="C26" s="8" t="s">
        <v>328</v>
      </c>
      <c r="D26" s="8"/>
      <c r="E26" s="53"/>
      <c r="F26" s="53"/>
      <c r="G26" s="53"/>
      <c r="H26" s="53"/>
      <c r="I26" s="51"/>
      <c r="J26" s="8"/>
    </row>
    <row r="27" spans="3:10" x14ac:dyDescent="0.25">
      <c r="C27" s="10" t="s">
        <v>124</v>
      </c>
      <c r="D27" s="11" t="s">
        <v>329</v>
      </c>
      <c r="E27" s="62">
        <f>INDEX(E28:E30,MATCH($J$27,$C$28:$C$30,0))</f>
        <v>0</v>
      </c>
      <c r="F27" s="62">
        <f>INDEX(F28:F30,MATCH($J$27,$C$28:$C$30,0))</f>
        <v>10</v>
      </c>
      <c r="G27" s="62">
        <f>INDEX(G28:G30,MATCH($J$27,$C$28:$C$30,0))</f>
        <v>15</v>
      </c>
      <c r="H27" s="62">
        <f>INDEX(H28:H30,MATCH($J$27,$C$28:$C$30,0))</f>
        <v>20</v>
      </c>
      <c r="I27" s="51"/>
      <c r="J27" s="58" t="s">
        <v>322</v>
      </c>
    </row>
    <row r="28" spans="3:10" x14ac:dyDescent="0.25">
      <c r="C28" s="59" t="s">
        <v>323</v>
      </c>
      <c r="D28" s="15"/>
      <c r="E28" s="63">
        <v>0</v>
      </c>
      <c r="F28" s="63">
        <v>8</v>
      </c>
      <c r="G28" s="63">
        <v>12</v>
      </c>
      <c r="H28" s="63">
        <v>16</v>
      </c>
      <c r="I28" s="51"/>
      <c r="J28" s="51"/>
    </row>
    <row r="29" spans="3:10" x14ac:dyDescent="0.25">
      <c r="C29" s="59" t="s">
        <v>322</v>
      </c>
      <c r="D29" s="15"/>
      <c r="E29" s="63">
        <v>0</v>
      </c>
      <c r="F29" s="63">
        <v>10</v>
      </c>
      <c r="G29" s="63">
        <v>15</v>
      </c>
      <c r="H29" s="63">
        <v>20</v>
      </c>
      <c r="I29" s="51"/>
      <c r="J29" s="51"/>
    </row>
    <row r="30" spans="3:10" x14ac:dyDescent="0.25">
      <c r="C30" s="59" t="s">
        <v>324</v>
      </c>
      <c r="D30" s="15"/>
      <c r="E30" s="63">
        <v>0</v>
      </c>
      <c r="F30" s="63">
        <v>12</v>
      </c>
      <c r="G30" s="63">
        <v>18</v>
      </c>
      <c r="H30" s="63">
        <v>24</v>
      </c>
      <c r="I30" s="51"/>
      <c r="J30" s="51"/>
    </row>
    <row r="32" spans="3:10" x14ac:dyDescent="0.25">
      <c r="C32" s="8" t="s">
        <v>330</v>
      </c>
      <c r="D32" s="8"/>
      <c r="E32" s="53"/>
      <c r="F32" s="53"/>
      <c r="G32" s="53"/>
      <c r="H32" s="53"/>
      <c r="I32" s="51"/>
      <c r="J32" s="8"/>
    </row>
    <row r="33" spans="3:10" x14ac:dyDescent="0.25">
      <c r="C33" s="10" t="s">
        <v>71</v>
      </c>
      <c r="D33" s="11" t="s">
        <v>12</v>
      </c>
      <c r="E33" s="57">
        <f>INDEX(E34:E36,MATCH($J$33,$C$34:$C$36,0))</f>
        <v>0.6</v>
      </c>
      <c r="F33" s="57">
        <f>INDEX(F34:F36,MATCH($J$33,$C$34:$C$36,0))</f>
        <v>0.6</v>
      </c>
      <c r="G33" s="57">
        <f>INDEX(G34:G36,MATCH($J$33,$C$34:$C$36,0))</f>
        <v>0.6</v>
      </c>
      <c r="H33" s="57">
        <f>INDEX(H34:H36,MATCH($J$33,$C$34:$C$36,0))</f>
        <v>0.6</v>
      </c>
      <c r="I33" s="51"/>
      <c r="J33" s="58" t="s">
        <v>322</v>
      </c>
    </row>
    <row r="34" spans="3:10" x14ac:dyDescent="0.25">
      <c r="C34" s="59" t="s">
        <v>323</v>
      </c>
      <c r="D34" s="15"/>
      <c r="E34" s="61">
        <v>0.7</v>
      </c>
      <c r="F34" s="61">
        <v>0.7</v>
      </c>
      <c r="G34" s="61">
        <v>0.7</v>
      </c>
      <c r="H34" s="61">
        <v>0.7</v>
      </c>
      <c r="I34" s="51"/>
      <c r="J34" s="51"/>
    </row>
    <row r="35" spans="3:10" x14ac:dyDescent="0.25">
      <c r="C35" s="59" t="s">
        <v>322</v>
      </c>
      <c r="D35" s="15"/>
      <c r="E35" s="61">
        <v>0.6</v>
      </c>
      <c r="F35" s="61">
        <v>0.6</v>
      </c>
      <c r="G35" s="61">
        <v>0.6</v>
      </c>
      <c r="H35" s="61">
        <v>0.6</v>
      </c>
      <c r="I35" s="51"/>
      <c r="J35" s="51"/>
    </row>
    <row r="36" spans="3:10" x14ac:dyDescent="0.25">
      <c r="C36" s="59" t="s">
        <v>324</v>
      </c>
      <c r="D36" s="15"/>
      <c r="E36" s="61">
        <v>0.5</v>
      </c>
      <c r="F36" s="61">
        <v>0.5</v>
      </c>
      <c r="G36" s="61">
        <v>0.5</v>
      </c>
      <c r="H36" s="61">
        <v>0.5</v>
      </c>
      <c r="I36" s="51"/>
      <c r="J36" s="51"/>
    </row>
    <row r="38" spans="3:10" x14ac:dyDescent="0.25">
      <c r="C38" s="8" t="s">
        <v>331</v>
      </c>
      <c r="D38" s="8"/>
      <c r="E38" s="53"/>
      <c r="F38" s="53"/>
      <c r="G38" s="53"/>
      <c r="H38" s="53"/>
      <c r="I38" s="51"/>
      <c r="J38" s="8"/>
    </row>
    <row r="39" spans="3:10" x14ac:dyDescent="0.25">
      <c r="C39" s="10" t="s">
        <v>332</v>
      </c>
      <c r="D39" s="11" t="s">
        <v>12</v>
      </c>
      <c r="E39" s="57">
        <f>INDEX(E40:E42,MATCH($J$39,$C$40:$C$42,0))</f>
        <v>0.35</v>
      </c>
      <c r="F39" s="57">
        <f>INDEX(F40:F42,MATCH($J$39,$C$40:$C$42,0))</f>
        <v>0.35</v>
      </c>
      <c r="G39" s="57">
        <f>INDEX(G40:G42,MATCH($J$39,$C$40:$C$42,0))</f>
        <v>0.35</v>
      </c>
      <c r="H39" s="57">
        <f>INDEX(H40:H42,MATCH($J$39,$C$40:$C$42,0))</f>
        <v>0.35</v>
      </c>
      <c r="I39" s="51"/>
      <c r="J39" s="58" t="s">
        <v>322</v>
      </c>
    </row>
    <row r="40" spans="3:10" x14ac:dyDescent="0.25">
      <c r="C40" s="59" t="s">
        <v>323</v>
      </c>
      <c r="D40" s="15"/>
      <c r="E40" s="61">
        <v>0.2</v>
      </c>
      <c r="F40" s="61">
        <v>0.2</v>
      </c>
      <c r="G40" s="61">
        <v>0.2</v>
      </c>
      <c r="H40" s="61">
        <v>0.2</v>
      </c>
      <c r="I40" s="51"/>
      <c r="J40" s="51"/>
    </row>
    <row r="41" spans="3:10" x14ac:dyDescent="0.25">
      <c r="C41" s="59" t="s">
        <v>322</v>
      </c>
      <c r="D41" s="15"/>
      <c r="E41" s="61">
        <v>0.35</v>
      </c>
      <c r="F41" s="61">
        <v>0.35</v>
      </c>
      <c r="G41" s="61">
        <v>0.35</v>
      </c>
      <c r="H41" s="61">
        <v>0.35</v>
      </c>
      <c r="I41" s="51"/>
      <c r="J41" s="51"/>
    </row>
    <row r="42" spans="3:10" x14ac:dyDescent="0.25">
      <c r="C42" s="59" t="s">
        <v>324</v>
      </c>
      <c r="D42" s="15"/>
      <c r="E42" s="61">
        <v>0.5</v>
      </c>
      <c r="F42" s="61">
        <v>0.5</v>
      </c>
      <c r="G42" s="61">
        <v>0.5</v>
      </c>
      <c r="H42" s="61">
        <v>0.5</v>
      </c>
      <c r="I42" s="51"/>
      <c r="J42" s="51"/>
    </row>
    <row r="44" spans="3:10" x14ac:dyDescent="0.25">
      <c r="C44" s="8" t="s">
        <v>333</v>
      </c>
      <c r="D44" s="8"/>
      <c r="E44" s="53"/>
      <c r="F44" s="53"/>
      <c r="G44" s="53"/>
      <c r="H44" s="53"/>
      <c r="I44" s="51"/>
      <c r="J44" s="8"/>
    </row>
    <row r="45" spans="3:10" x14ac:dyDescent="0.25">
      <c r="C45" s="10" t="s">
        <v>75</v>
      </c>
      <c r="D45" s="11" t="s">
        <v>12</v>
      </c>
      <c r="E45" s="57">
        <f>INDEX(E46:E48,MATCH($J$45,$C$46:$C$48,0))</f>
        <v>0.75</v>
      </c>
      <c r="F45" s="57">
        <f>INDEX(F46:F48,MATCH($J$45,$C$46:$C$48,0))</f>
        <v>0.75</v>
      </c>
      <c r="G45" s="57">
        <f>INDEX(G46:G48,MATCH($J$45,$C$46:$C$48,0))</f>
        <v>0.75</v>
      </c>
      <c r="H45" s="57">
        <f>INDEX(H46:H48,MATCH($J$45,$C$46:$C$48,0))</f>
        <v>0.75</v>
      </c>
      <c r="I45" s="51"/>
      <c r="J45" s="58" t="s">
        <v>322</v>
      </c>
    </row>
    <row r="46" spans="3:10" x14ac:dyDescent="0.25">
      <c r="C46" s="59" t="s">
        <v>323</v>
      </c>
      <c r="D46" s="15"/>
      <c r="E46" s="61">
        <v>0.5</v>
      </c>
      <c r="F46" s="61">
        <v>0.5</v>
      </c>
      <c r="G46" s="61">
        <v>0.5</v>
      </c>
      <c r="H46" s="61">
        <v>0.5</v>
      </c>
      <c r="I46" s="51"/>
      <c r="J46" s="51"/>
    </row>
    <row r="47" spans="3:10" x14ac:dyDescent="0.25">
      <c r="C47" s="59" t="s">
        <v>322</v>
      </c>
      <c r="D47" s="15"/>
      <c r="E47" s="61">
        <v>0.75</v>
      </c>
      <c r="F47" s="61">
        <v>0.75</v>
      </c>
      <c r="G47" s="61">
        <v>0.75</v>
      </c>
      <c r="H47" s="61">
        <v>0.75</v>
      </c>
      <c r="I47" s="51"/>
      <c r="J47" s="51"/>
    </row>
    <row r="48" spans="3:10" x14ac:dyDescent="0.25">
      <c r="C48" s="59" t="s">
        <v>324</v>
      </c>
      <c r="D48" s="15"/>
      <c r="E48" s="61">
        <v>0.85</v>
      </c>
      <c r="F48" s="61">
        <v>0.85</v>
      </c>
      <c r="G48" s="61">
        <v>0.85</v>
      </c>
      <c r="H48" s="61">
        <v>0.85</v>
      </c>
      <c r="I48" s="51"/>
      <c r="J48" s="51"/>
    </row>
    <row r="50" spans="3:10" x14ac:dyDescent="0.25">
      <c r="C50" s="8" t="s">
        <v>334</v>
      </c>
      <c r="D50" s="8"/>
      <c r="E50" s="53"/>
      <c r="F50" s="53"/>
      <c r="G50" s="53"/>
      <c r="H50" s="53"/>
      <c r="I50" s="51"/>
      <c r="J50" s="8"/>
    </row>
    <row r="51" spans="3:10" x14ac:dyDescent="0.25">
      <c r="C51" s="10" t="s">
        <v>81</v>
      </c>
      <c r="D51" s="11" t="s">
        <v>12</v>
      </c>
      <c r="E51" s="57">
        <f>INDEX(E52:E54,MATCH($J$51,$C$52:$C$54,0))</f>
        <v>0.18</v>
      </c>
      <c r="F51" s="57">
        <f>INDEX(F52:F54,MATCH($J$51,$C$52:$C$54,0))</f>
        <v>0.18</v>
      </c>
      <c r="G51" s="57">
        <f>INDEX(G52:G54,MATCH($J$51,$C$52:$C$54,0))</f>
        <v>0.18</v>
      </c>
      <c r="H51" s="57">
        <f>INDEX(H52:H54,MATCH($J$51,$C$52:$C$54,0))</f>
        <v>0.18</v>
      </c>
      <c r="I51" s="51"/>
      <c r="J51" s="58" t="s">
        <v>322</v>
      </c>
    </row>
    <row r="52" spans="3:10" x14ac:dyDescent="0.25">
      <c r="C52" s="59" t="s">
        <v>323</v>
      </c>
      <c r="D52" s="15"/>
      <c r="E52" s="61">
        <v>0.25</v>
      </c>
      <c r="F52" s="61">
        <v>0.25</v>
      </c>
      <c r="G52" s="61">
        <v>0.25</v>
      </c>
      <c r="H52" s="61">
        <v>0.25</v>
      </c>
      <c r="I52" s="51"/>
      <c r="J52" s="51"/>
    </row>
    <row r="53" spans="3:10" x14ac:dyDescent="0.25">
      <c r="C53" s="59" t="s">
        <v>322</v>
      </c>
      <c r="D53" s="15"/>
      <c r="E53" s="61">
        <v>0.18</v>
      </c>
      <c r="F53" s="61">
        <v>0.18</v>
      </c>
      <c r="G53" s="61">
        <v>0.18</v>
      </c>
      <c r="H53" s="61">
        <v>0.18</v>
      </c>
      <c r="I53" s="51"/>
      <c r="J53" s="51"/>
    </row>
    <row r="54" spans="3:10" x14ac:dyDescent="0.25">
      <c r="C54" s="59" t="s">
        <v>324</v>
      </c>
      <c r="D54" s="15"/>
      <c r="E54" s="61">
        <v>0.12</v>
      </c>
      <c r="F54" s="61">
        <v>0.12</v>
      </c>
      <c r="G54" s="61">
        <v>0.12</v>
      </c>
      <c r="H54" s="61">
        <v>0.12</v>
      </c>
      <c r="I54" s="51"/>
      <c r="J54" s="51"/>
    </row>
    <row r="56" spans="3:10" x14ac:dyDescent="0.25">
      <c r="C56" s="8" t="s">
        <v>335</v>
      </c>
      <c r="D56" s="8"/>
      <c r="E56" s="53"/>
      <c r="F56" s="53"/>
      <c r="G56" s="53"/>
      <c r="H56" s="53"/>
      <c r="I56" s="51"/>
      <c r="J56" s="8"/>
    </row>
    <row r="57" spans="3:10" x14ac:dyDescent="0.25">
      <c r="C57" s="14" t="s">
        <v>22</v>
      </c>
      <c r="D57" s="15" t="s">
        <v>23</v>
      </c>
      <c r="E57" s="48">
        <f>'01 Market'!E15</f>
        <v>60</v>
      </c>
      <c r="F57" s="48">
        <f>'01 Market'!F15</f>
        <v>367</v>
      </c>
      <c r="G57" s="48">
        <f>'01 Market'!G15</f>
        <v>633</v>
      </c>
      <c r="H57" s="48">
        <f>'01 Market'!H15</f>
        <v>871</v>
      </c>
      <c r="I57" s="51"/>
      <c r="J57" s="51"/>
    </row>
    <row r="58" spans="3:10" x14ac:dyDescent="0.25">
      <c r="C58" s="14" t="s">
        <v>336</v>
      </c>
      <c r="D58" s="15" t="s">
        <v>9</v>
      </c>
      <c r="E58" s="18">
        <f>'04 Operations'!E10</f>
        <v>5392800</v>
      </c>
      <c r="F58" s="18">
        <f>'04 Operations'!F10</f>
        <v>31982300</v>
      </c>
      <c r="G58" s="18">
        <f>'04 Operations'!G10</f>
        <v>74900000</v>
      </c>
      <c r="H58" s="18">
        <f>'04 Operations'!H10</f>
        <v>112649600</v>
      </c>
      <c r="I58" s="51"/>
      <c r="J58" s="51"/>
    </row>
    <row r="59" spans="3:10" x14ac:dyDescent="0.25">
      <c r="C59" s="10" t="s">
        <v>8</v>
      </c>
      <c r="D59" s="11" t="s">
        <v>9</v>
      </c>
      <c r="E59" s="12">
        <f>'05 P&amp;L'!E17</f>
        <v>1037817.6</v>
      </c>
      <c r="F59" s="12">
        <f>'05 P&amp;L'!F17</f>
        <v>7351230.7666666666</v>
      </c>
      <c r="G59" s="12">
        <f>'05 P&amp;L'!G17</f>
        <v>17984966.666666668</v>
      </c>
      <c r="H59" s="12">
        <f>'05 P&amp;L'!H17</f>
        <v>27198189.866666667</v>
      </c>
      <c r="I59" s="51"/>
      <c r="J59" s="51"/>
    </row>
    <row r="60" spans="3:10" x14ac:dyDescent="0.25">
      <c r="C60" s="10" t="s">
        <v>337</v>
      </c>
      <c r="D60" s="11" t="s">
        <v>9</v>
      </c>
      <c r="E60" s="12">
        <f>'05 P&amp;L'!E35</f>
        <v>743211.13658536586</v>
      </c>
      <c r="F60" s="12">
        <f>'05 P&amp;L'!F35</f>
        <v>6363629.5878048781</v>
      </c>
      <c r="G60" s="12">
        <f>'05 P&amp;L'!G35</f>
        <v>15947231.341463417</v>
      </c>
      <c r="H60" s="12">
        <f>'05 P&amp;L'!H35</f>
        <v>24306234.297560975</v>
      </c>
      <c r="I60" s="51"/>
      <c r="J60" s="51"/>
    </row>
    <row r="61" spans="3:10" x14ac:dyDescent="0.25">
      <c r="C61" s="10" t="s">
        <v>338</v>
      </c>
      <c r="D61" s="11" t="s">
        <v>9</v>
      </c>
      <c r="E61" s="12">
        <f>'05 P&amp;L'!E43</f>
        <v>591262.24260162597</v>
      </c>
      <c r="F61" s="12">
        <f>'05 P&amp;L'!F43</f>
        <v>5082277.0035772361</v>
      </c>
      <c r="G61" s="12">
        <f>'05 P&amp;L'!G43</f>
        <v>12740978.406504065</v>
      </c>
      <c r="H61" s="12">
        <f>'05 P&amp;L'!H43</f>
        <v>19425227.43804878</v>
      </c>
      <c r="I61" s="51"/>
      <c r="J61" s="51"/>
    </row>
    <row r="62" spans="3:10" x14ac:dyDescent="0.25">
      <c r="C62" s="10" t="s">
        <v>339</v>
      </c>
      <c r="D62" s="11" t="s">
        <v>9</v>
      </c>
      <c r="E62" s="12">
        <f>'06 Cash Flow'!E20</f>
        <v>427598.12047713669</v>
      </c>
      <c r="F62" s="12">
        <f>'06 Cash Flow'!F20</f>
        <v>4675584.4586473312</v>
      </c>
      <c r="G62" s="12">
        <f>'06 Cash Flow'!G20</f>
        <v>11555217.728369001</v>
      </c>
      <c r="H62" s="12">
        <f>'06 Cash Flow'!H20</f>
        <v>18555027.696073294</v>
      </c>
      <c r="I62" s="51"/>
      <c r="J62" s="51"/>
    </row>
    <row r="64" spans="3:10" x14ac:dyDescent="0.25">
      <c r="C64" s="4" t="s">
        <v>340</v>
      </c>
    </row>
  </sheetData>
  <conditionalFormatting sqref="E7:H64">
    <cfRule type="expression" dxfId="3" priority="2">
      <formula>E7="PASS"</formula>
    </cfRule>
    <cfRule type="expression" dxfId="2" priority="3">
      <formula>OR(E7="NOT MET",E7="CHECK",E7="ERROR",E7="OVER CAP",E7="REVIEW (&gt;60%)")</formula>
    </cfRule>
  </conditionalFormatting>
  <dataValidations count="1">
    <dataValidation type="list" sqref="J9 J15 J21 J27 J33 J39 J45 J51" xr:uid="{00000000-0002-0000-0700-000000000000}">
      <formula1>"Conservative,Base,Optimistic"</formula1>
      <formula2>0</formula2>
    </dataValidation>
  </dataValidations>
  <pageMargins left="0.4" right="0.4" top="0.5" bottom="0.5" header="0.511811023622047" footer="0.51180555555555596"/>
  <pageSetup paperSize="9" fitToHeight="0" orientation="landscape" horizontalDpi="300" verticalDpi="300"/>
  <headerFooter>
    <oddFooter>&amp;C&amp;8 &amp;A  ·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  <pageSetUpPr fitToPage="1"/>
  </sheetPr>
  <dimension ref="C2:J44"/>
  <sheetViews>
    <sheetView showGridLines="0" tabSelected="1" zoomScale="110" zoomScaleNormal="110" workbookViewId="0">
      <pane xSplit="4" ySplit="5" topLeftCell="E13" activePane="bottomRight" state="frozen"/>
      <selection activeCell="H59" sqref="H59"/>
      <selection pane="topRight" activeCell="H59" sqref="H59"/>
      <selection pane="bottomLeft" activeCell="H59" sqref="H59"/>
      <selection pane="bottomRight" activeCell="E48" sqref="E48"/>
    </sheetView>
  </sheetViews>
  <sheetFormatPr defaultColWidth="8.7109375" defaultRowHeight="15" x14ac:dyDescent="0.25"/>
  <cols>
    <col min="1" max="2" width="2" customWidth="1"/>
    <col min="3" max="3" width="60" customWidth="1"/>
    <col min="4" max="4" width="13" customWidth="1"/>
    <col min="5" max="8" width="15.42578125" customWidth="1"/>
    <col min="9" max="9" width="2" customWidth="1"/>
    <col min="10" max="10" width="85" customWidth="1"/>
    <col min="11" max="13" width="9" customWidth="1"/>
  </cols>
  <sheetData>
    <row r="2" spans="3:10" ht="19.5" x14ac:dyDescent="0.25">
      <c r="C2" s="1" t="s">
        <v>341</v>
      </c>
      <c r="D2" s="2"/>
      <c r="E2" s="2"/>
      <c r="F2" s="2"/>
      <c r="G2" s="2"/>
      <c r="H2" s="2"/>
      <c r="I2" s="2"/>
      <c r="J2" s="2"/>
    </row>
    <row r="3" spans="3:10" x14ac:dyDescent="0.25">
      <c r="C3" s="4" t="s">
        <v>342</v>
      </c>
    </row>
    <row r="5" spans="3:10" x14ac:dyDescent="0.25">
      <c r="C5" s="6" t="s">
        <v>4</v>
      </c>
      <c r="D5" s="7" t="s">
        <v>5</v>
      </c>
      <c r="E5" s="7">
        <v>2027</v>
      </c>
      <c r="F5" s="7">
        <v>2028</v>
      </c>
      <c r="G5" s="7">
        <v>2029</v>
      </c>
      <c r="H5" s="7">
        <v>2030</v>
      </c>
      <c r="J5" s="6" t="s">
        <v>343</v>
      </c>
    </row>
    <row r="8" spans="3:10" x14ac:dyDescent="0.25">
      <c r="C8" s="8" t="s">
        <v>344</v>
      </c>
      <c r="D8" s="8"/>
      <c r="E8" s="8"/>
      <c r="F8" s="8"/>
      <c r="G8" s="8"/>
      <c r="H8" s="8"/>
      <c r="J8" s="8"/>
    </row>
    <row r="9" spans="3:10" x14ac:dyDescent="0.25">
      <c r="C9" s="14" t="s">
        <v>345</v>
      </c>
      <c r="D9" s="15" t="s">
        <v>9</v>
      </c>
      <c r="E9" s="18">
        <f>'04 Operations'!E11-'05 P&amp;L'!E8-'04 Operations'!E15</f>
        <v>389480</v>
      </c>
      <c r="F9" s="18">
        <f>'04 Operations'!F11-'05 P&amp;L'!F8-'04 Operations'!F15</f>
        <v>2309832.777777778</v>
      </c>
      <c r="G9" s="18">
        <f>'04 Operations'!G11-'05 P&amp;L'!G8-'04 Operations'!G15</f>
        <v>5409444.4444444478</v>
      </c>
      <c r="H9" s="18">
        <f>'04 Operations'!H11-'05 P&amp;L'!H8-'04 Operations'!H15</f>
        <v>8135804.4444444403</v>
      </c>
      <c r="J9" s="17" t="s">
        <v>346</v>
      </c>
    </row>
    <row r="10" spans="3:10" x14ac:dyDescent="0.25">
      <c r="C10" s="14" t="s">
        <v>347</v>
      </c>
      <c r="D10" s="15" t="s">
        <v>9</v>
      </c>
      <c r="E10" s="18">
        <f>'04 Operations'!E12-'05 P&amp;L'!E9-'04 Operations'!E17</f>
        <v>570096</v>
      </c>
      <c r="F10" s="18">
        <f>'04 Operations'!F12-'05 P&amp;L'!F9-'04 Operations'!F17</f>
        <v>3380986</v>
      </c>
      <c r="G10" s="18">
        <f>'04 Operations'!G12-'05 P&amp;L'!G9-'04 Operations'!G17</f>
        <v>7918000</v>
      </c>
      <c r="H10" s="18">
        <f>'04 Operations'!H12-'05 P&amp;L'!H9-'04 Operations'!H17</f>
        <v>11908672</v>
      </c>
      <c r="J10" s="17"/>
    </row>
    <row r="11" spans="3:10" x14ac:dyDescent="0.25">
      <c r="C11" s="14" t="s">
        <v>348</v>
      </c>
      <c r="D11" s="15" t="s">
        <v>30</v>
      </c>
      <c r="E11" s="23" t="str">
        <f>IF('05 P&amp;L'!E19&lt;='02 Fee Schedule'!E10+0.0001,"PASS","OVER CAP")</f>
        <v>PASS</v>
      </c>
      <c r="F11" s="23" t="str">
        <f>IF('05 P&amp;L'!F19&lt;='02 Fee Schedule'!F10+0.0001,"PASS","OVER CAP")</f>
        <v>PASS</v>
      </c>
      <c r="G11" s="23" t="str">
        <f>IF('05 P&amp;L'!G19&lt;='02 Fee Schedule'!G10+0.0001,"PASS","OVER CAP")</f>
        <v>PASS</v>
      </c>
      <c r="H11" s="23" t="str">
        <f>IF('05 P&amp;L'!H19&lt;='02 Fee Schedule'!H10+0.0001,"PASS","OVER CAP")</f>
        <v>PASS</v>
      </c>
      <c r="J11" s="17"/>
    </row>
    <row r="13" spans="3:10" x14ac:dyDescent="0.25">
      <c r="C13" s="8" t="s">
        <v>349</v>
      </c>
      <c r="D13" s="8"/>
      <c r="E13" s="8"/>
      <c r="F13" s="8"/>
      <c r="G13" s="8"/>
      <c r="H13" s="8"/>
      <c r="J13" s="8"/>
    </row>
    <row r="14" spans="3:10" x14ac:dyDescent="0.25">
      <c r="C14" s="14" t="s">
        <v>350</v>
      </c>
      <c r="D14" s="15" t="s">
        <v>9</v>
      </c>
      <c r="E14" s="18">
        <f>'05 P&amp;L'!E17-('05 P&amp;L'!E11+'05 P&amp;L'!E12+'05 P&amp;L'!E13+'05 P&amp;L'!E16)</f>
        <v>0</v>
      </c>
      <c r="F14" s="18">
        <f>'05 P&amp;L'!F17-('05 P&amp;L'!F11+'05 P&amp;L'!F12+'05 P&amp;L'!F13+'05 P&amp;L'!F16)</f>
        <v>0</v>
      </c>
      <c r="G14" s="18">
        <f>'05 P&amp;L'!G17-('05 P&amp;L'!G11+'05 P&amp;L'!G12+'05 P&amp;L'!G13+'05 P&amp;L'!G16)</f>
        <v>0</v>
      </c>
      <c r="H14" s="18">
        <f>'05 P&amp;L'!H17-('05 P&amp;L'!H11+'05 P&amp;L'!H12+'05 P&amp;L'!H13+'05 P&amp;L'!H16)</f>
        <v>0</v>
      </c>
      <c r="J14" s="17"/>
    </row>
    <row r="15" spans="3:10" x14ac:dyDescent="0.25">
      <c r="C15" s="14" t="s">
        <v>351</v>
      </c>
      <c r="D15" s="15" t="s">
        <v>9</v>
      </c>
      <c r="E15" s="18">
        <f>'04 Operations'!E10-'04 Operations'!E11-'04 Operations'!E12</f>
        <v>0</v>
      </c>
      <c r="F15" s="18">
        <f>'04 Operations'!F10-'04 Operations'!F11-'04 Operations'!F12</f>
        <v>0</v>
      </c>
      <c r="G15" s="18">
        <f>'04 Operations'!G10-'04 Operations'!G11-'04 Operations'!G12</f>
        <v>0</v>
      </c>
      <c r="H15" s="18">
        <f>'04 Operations'!H10-'04 Operations'!H11-'04 Operations'!H12</f>
        <v>0</v>
      </c>
      <c r="J15" s="17"/>
    </row>
    <row r="16" spans="3:10" x14ac:dyDescent="0.25">
      <c r="C16" s="14" t="s">
        <v>352</v>
      </c>
      <c r="D16" s="15" t="s">
        <v>30</v>
      </c>
      <c r="E16" s="23" t="str">
        <f>IF(AND('01 Market'!E27&gt;=0,'01 Market'!E27&lt;=1),"PASS","ERROR")</f>
        <v>PASS</v>
      </c>
      <c r="F16" s="23" t="str">
        <f>IF(AND('01 Market'!F27&gt;=0,'01 Market'!F27&lt;=1),"PASS","ERROR")</f>
        <v>PASS</v>
      </c>
      <c r="G16" s="23" t="str">
        <f>IF(AND('01 Market'!G27&gt;=0,'01 Market'!G27&lt;=1),"PASS","ERROR")</f>
        <v>PASS</v>
      </c>
      <c r="H16" s="23" t="str">
        <f>IF(AND('01 Market'!H27&gt;=0,'01 Market'!H27&lt;=1),"PASS","ERROR")</f>
        <v>PASS</v>
      </c>
      <c r="J16" s="17"/>
    </row>
    <row r="18" spans="3:10" x14ac:dyDescent="0.25">
      <c r="C18" s="8" t="s">
        <v>353</v>
      </c>
      <c r="D18" s="8"/>
      <c r="E18" s="8"/>
      <c r="F18" s="8"/>
      <c r="G18" s="8"/>
      <c r="H18" s="8"/>
      <c r="J18" s="8"/>
    </row>
    <row r="19" spans="3:10" ht="36" x14ac:dyDescent="0.25">
      <c r="C19" s="14" t="s">
        <v>354</v>
      </c>
      <c r="D19" s="15" t="s">
        <v>355</v>
      </c>
      <c r="E19" s="64">
        <f>'01 Market'!E15/'01 Market'!E11</f>
        <v>0.125</v>
      </c>
      <c r="F19" s="64">
        <f>'01 Market'!F15/'01 Market'!F11</f>
        <v>0.63715277777777779</v>
      </c>
      <c r="G19" s="64">
        <f>'01 Market'!G15/'01 Market'!G11</f>
        <v>0.91606367583212733</v>
      </c>
      <c r="H19" s="64">
        <f>'01 Market'!H15/'01 Market'!H11</f>
        <v>1.0506634499396863</v>
      </c>
      <c r="J19" s="17" t="s">
        <v>356</v>
      </c>
    </row>
    <row r="20" spans="3:10" x14ac:dyDescent="0.25">
      <c r="C20" s="14" t="s">
        <v>357</v>
      </c>
      <c r="D20" s="15" t="s">
        <v>30</v>
      </c>
      <c r="E20" s="23" t="str">
        <f>IF('05 P&amp;L'!E36&gt;0.6,"REVIEW (&gt;60%)","PASS")</f>
        <v>REVIEW (&gt;60%)</v>
      </c>
      <c r="F20" s="23" t="str">
        <f>IF('05 P&amp;L'!F36&gt;0.6,"REVIEW (&gt;60%)","PASS")</f>
        <v>REVIEW (&gt;60%)</v>
      </c>
      <c r="G20" s="23" t="str">
        <f>IF('05 P&amp;L'!G36&gt;0.6,"REVIEW (&gt;60%)","PASS")</f>
        <v>REVIEW (&gt;60%)</v>
      </c>
      <c r="H20" s="23" t="str">
        <f>IF('05 P&amp;L'!H36&gt;0.6,"REVIEW (&gt;60%)","PASS")</f>
        <v>REVIEW (&gt;60%)</v>
      </c>
      <c r="J20" s="17"/>
    </row>
    <row r="22" spans="3:10" x14ac:dyDescent="0.25">
      <c r="C22" s="8" t="s">
        <v>358</v>
      </c>
      <c r="D22" s="8"/>
      <c r="E22" s="8"/>
      <c r="F22" s="8"/>
      <c r="G22" s="8"/>
      <c r="H22" s="8"/>
      <c r="J22" s="8"/>
    </row>
    <row r="23" spans="3:10" x14ac:dyDescent="0.25">
      <c r="C23" s="10" t="s">
        <v>359</v>
      </c>
      <c r="D23" s="11" t="s">
        <v>30</v>
      </c>
      <c r="E23" s="65" t="str">
        <f>IF(AND(E9&gt;=0,E10&gt;=0,E11="PASS",ABS(E14)&lt;1,ABS(E15)&lt;1,E16="PASS",E30="PASS",E34="PASS",E40="PASS",E44="PASS"),"PASS","CHECK")</f>
        <v>PASS</v>
      </c>
      <c r="F23" s="65" t="str">
        <f>IF(AND(F9&gt;=0,F10&gt;=0,F11="PASS",ABS(F14)&lt;1,ABS(F15)&lt;1,F16="PASS",F30="PASS",F34="PASS",F40="PASS",F44="PASS"),"PASS","CHECK")</f>
        <v>PASS</v>
      </c>
      <c r="G23" s="65" t="str">
        <f>IF(AND(G9&gt;=0,G10&gt;=0,G11="PASS",ABS(G14)&lt;1,ABS(G15)&lt;1,G16="PASS",G30="PASS",G34="PASS",G40="PASS",G44="PASS"),"PASS","CHECK")</f>
        <v>PASS</v>
      </c>
      <c r="H23" s="65" t="str">
        <f>IF(AND(H9&gt;=0,H10&gt;=0,H11="PASS",ABS(H14)&lt;1,ABS(H15)&lt;1,H16="PASS",H30="PASS",H34="PASS",H40="PASS",H44="PASS"),"PASS","CHECK")</f>
        <v>PASS</v>
      </c>
      <c r="J23" s="13"/>
    </row>
    <row r="25" spans="3:10" x14ac:dyDescent="0.25">
      <c r="C25" s="8" t="s">
        <v>360</v>
      </c>
      <c r="D25" s="8"/>
      <c r="E25" s="8"/>
      <c r="F25" s="8"/>
      <c r="G25" s="8"/>
      <c r="H25" s="8"/>
      <c r="J25" s="8"/>
    </row>
    <row r="26" spans="3:10" x14ac:dyDescent="0.25">
      <c r="C26" s="14" t="s">
        <v>361</v>
      </c>
      <c r="D26" s="15" t="s">
        <v>9</v>
      </c>
      <c r="E26" s="18">
        <f>'04 Operations'!E25-'04 Operations'!E26-'04 Operations'!E27</f>
        <v>0</v>
      </c>
      <c r="F26" s="18">
        <f>'04 Operations'!F25-'04 Operations'!F26-'04 Operations'!F27</f>
        <v>0</v>
      </c>
      <c r="G26" s="18">
        <f>'04 Operations'!G25-'04 Operations'!G26-'04 Operations'!G27</f>
        <v>0</v>
      </c>
      <c r="H26" s="18">
        <f>'04 Operations'!H25-'04 Operations'!H26-'04 Operations'!H27</f>
        <v>0</v>
      </c>
      <c r="J26" s="17"/>
    </row>
    <row r="27" spans="3:10" x14ac:dyDescent="0.25">
      <c r="C27" s="14" t="s">
        <v>362</v>
      </c>
      <c r="D27" s="15" t="s">
        <v>9</v>
      </c>
      <c r="E27" s="18">
        <f>'04 Operations'!E28-'04 Operations'!E10</f>
        <v>0</v>
      </c>
      <c r="F27" s="18">
        <f>'04 Operations'!F28-'04 Operations'!F10</f>
        <v>0</v>
      </c>
      <c r="G27" s="18">
        <f>'04 Operations'!G28-'04 Operations'!G10</f>
        <v>0</v>
      </c>
      <c r="H27" s="18">
        <f>'04 Operations'!H28-'04 Operations'!H10</f>
        <v>0</v>
      </c>
      <c r="J27" s="17"/>
    </row>
    <row r="28" spans="3:10" x14ac:dyDescent="0.25">
      <c r="C28" s="14" t="s">
        <v>363</v>
      </c>
      <c r="D28" s="15" t="s">
        <v>9</v>
      </c>
      <c r="E28" s="18">
        <f>'04 Operations'!E30-('04 Operations'!E10-'04 Operations'!E29)</f>
        <v>0</v>
      </c>
      <c r="F28" s="18">
        <f>'04 Operations'!F30-('04 Operations'!F10-'04 Operations'!F29)</f>
        <v>0</v>
      </c>
      <c r="G28" s="18">
        <f>'04 Operations'!G30-('04 Operations'!G10-'04 Operations'!G29)</f>
        <v>0</v>
      </c>
      <c r="H28" s="18">
        <f>'04 Operations'!H30-('04 Operations'!H10-'04 Operations'!H29)</f>
        <v>0</v>
      </c>
      <c r="J28" s="17"/>
    </row>
    <row r="29" spans="3:10" ht="24" x14ac:dyDescent="0.25">
      <c r="C29" s="14" t="s">
        <v>364</v>
      </c>
      <c r="D29" s="15" t="s">
        <v>9</v>
      </c>
      <c r="E29" s="18">
        <f>'06 Cash Flow'!E34+'06 Cash Flow'!E27</f>
        <v>0</v>
      </c>
      <c r="F29" s="18">
        <f>'06 Cash Flow'!F34+'06 Cash Flow'!F27-'06 Cash Flow'!E27</f>
        <v>-6.5483618527650833E-11</v>
      </c>
      <c r="G29" s="18">
        <f>'06 Cash Flow'!G34+'06 Cash Flow'!G27-'06 Cash Flow'!F27</f>
        <v>-4.6566128730773926E-10</v>
      </c>
      <c r="H29" s="18">
        <f>'06 Cash Flow'!H34+'06 Cash Flow'!H27-'06 Cash Flow'!G27</f>
        <v>-5.8207660913467407E-10</v>
      </c>
      <c r="J29" s="17" t="s">
        <v>365</v>
      </c>
    </row>
    <row r="30" spans="3:10" x14ac:dyDescent="0.25">
      <c r="C30" s="10" t="s">
        <v>366</v>
      </c>
      <c r="D30" s="11" t="s">
        <v>30</v>
      </c>
      <c r="E30" s="65" t="str">
        <f>IF(AND(ABS(E26)&lt;1,ABS(E27)&lt;1,ABS(E28)&lt;1,ABS(E29)&lt;1),"PASS","CHECK")</f>
        <v>PASS</v>
      </c>
      <c r="F30" s="65" t="str">
        <f>IF(AND(ABS(F26)&lt;1,ABS(F27)&lt;1,ABS(F28)&lt;1,ABS(F29)&lt;1),"PASS","CHECK")</f>
        <v>PASS</v>
      </c>
      <c r="G30" s="65" t="str">
        <f>IF(AND(ABS(G26)&lt;1,ABS(G27)&lt;1,ABS(G28)&lt;1,ABS(G29)&lt;1),"PASS","CHECK")</f>
        <v>PASS</v>
      </c>
      <c r="H30" s="65" t="str">
        <f>IF(AND(ABS(H26)&lt;1,ABS(H27)&lt;1,ABS(H28)&lt;1,ABS(H29)&lt;1),"PASS","CHECK")</f>
        <v>PASS</v>
      </c>
      <c r="J30" s="13"/>
    </row>
    <row r="32" spans="3:10" x14ac:dyDescent="0.25">
      <c r="C32" s="8" t="s">
        <v>367</v>
      </c>
      <c r="D32" s="8"/>
      <c r="E32" s="8"/>
      <c r="F32" s="8"/>
      <c r="G32" s="8"/>
      <c r="H32" s="8"/>
      <c r="J32" s="8"/>
    </row>
    <row r="33" spans="3:10" x14ac:dyDescent="0.25">
      <c r="C33" s="14" t="s">
        <v>368</v>
      </c>
      <c r="D33" s="15" t="s">
        <v>9</v>
      </c>
      <c r="E33" s="18">
        <f>'04 Operations'!E23-'04 Operations'!E24-'04 Operations'!E22</f>
        <v>0</v>
      </c>
      <c r="F33" s="18">
        <f>'04 Operations'!F23-'04 Operations'!F24-'04 Operations'!F22</f>
        <v>0</v>
      </c>
      <c r="G33" s="18">
        <f>'04 Operations'!G23-'04 Operations'!G24-'04 Operations'!G22</f>
        <v>0</v>
      </c>
      <c r="H33" s="18">
        <f>'04 Operations'!H23-'04 Operations'!H24-'04 Operations'!H22</f>
        <v>0</v>
      </c>
      <c r="J33" s="17"/>
    </row>
    <row r="34" spans="3:10" x14ac:dyDescent="0.25">
      <c r="C34" s="10" t="s">
        <v>369</v>
      </c>
      <c r="D34" s="11" t="s">
        <v>30</v>
      </c>
      <c r="E34" s="65" t="str">
        <f>IF(AND(ABS(E33)&lt;1,ABS(E35)&lt;1),"PASS","CHECK")</f>
        <v>PASS</v>
      </c>
      <c r="F34" s="65" t="str">
        <f>IF(AND(ABS(F33)&lt;1,ABS(F35)&lt;1),"PASS","CHECK")</f>
        <v>PASS</v>
      </c>
      <c r="G34" s="65" t="str">
        <f>IF(AND(ABS(G33)&lt;1,ABS(G35)&lt;1),"PASS","CHECK")</f>
        <v>PASS</v>
      </c>
      <c r="H34" s="65" t="str">
        <f>IF(AND(ABS(H33)&lt;1,ABS(H35)&lt;1),"PASS","CHECK")</f>
        <v>PASS</v>
      </c>
      <c r="J34" s="13"/>
    </row>
    <row r="35" spans="3:10" ht="25.5" x14ac:dyDescent="0.25">
      <c r="C35" s="14" t="s">
        <v>370</v>
      </c>
      <c r="D35" s="15" t="s">
        <v>9</v>
      </c>
      <c r="E35" s="18">
        <f>'04 Operations'!E31-'04 Operations'!E24</f>
        <v>0</v>
      </c>
      <c r="F35" s="18">
        <f>'04 Operations'!F31-'04 Operations'!F24</f>
        <v>0</v>
      </c>
      <c r="G35" s="18">
        <f>'04 Operations'!G31-'04 Operations'!G24</f>
        <v>0</v>
      </c>
      <c r="H35" s="18">
        <f>'04 Operations'!H31-'04 Operations'!H24</f>
        <v>0</v>
      </c>
      <c r="J35" s="17"/>
    </row>
    <row r="37" spans="3:10" x14ac:dyDescent="0.25">
      <c r="C37" s="8" t="s">
        <v>371</v>
      </c>
      <c r="D37" s="8"/>
      <c r="E37" s="8"/>
      <c r="F37" s="8"/>
      <c r="G37" s="8"/>
      <c r="H37" s="8"/>
      <c r="J37" s="38" t="s">
        <v>372</v>
      </c>
    </row>
    <row r="38" spans="3:10" x14ac:dyDescent="0.25">
      <c r="C38" s="14" t="s">
        <v>373</v>
      </c>
      <c r="D38" s="15" t="s">
        <v>9</v>
      </c>
      <c r="E38" s="18">
        <f>'04 Operations'!E35*'03 Strategy'!E17*'03 Strategy'!E24-'04 Operations'!E38</f>
        <v>0</v>
      </c>
      <c r="F38" s="18">
        <f>'04 Operations'!F35*'03 Strategy'!F17*'03 Strategy'!F24-'04 Operations'!F38</f>
        <v>0</v>
      </c>
      <c r="G38" s="18">
        <f>'04 Operations'!G35*'03 Strategy'!G17*'03 Strategy'!G24-'04 Operations'!G38</f>
        <v>0</v>
      </c>
      <c r="H38" s="18">
        <f>'04 Operations'!H35*'03 Strategy'!H17*'03 Strategy'!H24-'04 Operations'!H38</f>
        <v>0</v>
      </c>
      <c r="J38" s="17" t="s">
        <v>374</v>
      </c>
    </row>
    <row r="39" spans="3:10" x14ac:dyDescent="0.25">
      <c r="C39" s="14" t="s">
        <v>375</v>
      </c>
      <c r="D39" s="15" t="s">
        <v>9</v>
      </c>
      <c r="E39" s="18">
        <f>'05 P&amp;L'!E33+'04 Operations'!E38</f>
        <v>0</v>
      </c>
      <c r="F39" s="18">
        <f>'05 P&amp;L'!F33+'04 Operations'!F38</f>
        <v>0</v>
      </c>
      <c r="G39" s="18">
        <f>'05 P&amp;L'!G33+'04 Operations'!G38</f>
        <v>0</v>
      </c>
      <c r="H39" s="18">
        <f>'05 P&amp;L'!H33+'04 Operations'!H38</f>
        <v>0</v>
      </c>
      <c r="J39" s="17" t="s">
        <v>376</v>
      </c>
    </row>
    <row r="40" spans="3:10" x14ac:dyDescent="0.25">
      <c r="C40" s="10" t="s">
        <v>377</v>
      </c>
      <c r="D40" s="11" t="s">
        <v>30</v>
      </c>
      <c r="E40" s="65" t="str">
        <f>IF(AND(ABS(E38)&lt;1,ABS(E39)&lt;1),"PASS","CHECK")</f>
        <v>PASS</v>
      </c>
      <c r="F40" s="65" t="str">
        <f>IF(AND(ABS(F38)&lt;1,ABS(F39)&lt;1),"PASS","CHECK")</f>
        <v>PASS</v>
      </c>
      <c r="G40" s="65" t="str">
        <f>IF(AND(ABS(G38)&lt;1,ABS(G39)&lt;1),"PASS","CHECK")</f>
        <v>PASS</v>
      </c>
      <c r="H40" s="65" t="str">
        <f>IF(AND(ABS(H38)&lt;1,ABS(H39)&lt;1),"PASS","CHECK")</f>
        <v>PASS</v>
      </c>
      <c r="J40" s="13" t="s">
        <v>378</v>
      </c>
    </row>
    <row r="42" spans="3:10" x14ac:dyDescent="0.25">
      <c r="C42" s="8" t="s">
        <v>379</v>
      </c>
      <c r="D42" s="8"/>
      <c r="E42" s="8"/>
      <c r="F42" s="8"/>
      <c r="G42" s="8"/>
      <c r="H42" s="8"/>
      <c r="J42" s="8"/>
    </row>
    <row r="43" spans="3:10" x14ac:dyDescent="0.25">
      <c r="C43" s="14" t="s">
        <v>380</v>
      </c>
      <c r="D43" s="15" t="s">
        <v>9</v>
      </c>
      <c r="E43" s="18">
        <f>'05 P&amp;L'!E21+'04 Operations'!E43</f>
        <v>0</v>
      </c>
      <c r="F43" s="18">
        <f>'05 P&amp;L'!F21+'04 Operations'!F43</f>
        <v>0</v>
      </c>
      <c r="G43" s="18">
        <f>'05 P&amp;L'!G21+'04 Operations'!G43</f>
        <v>0</v>
      </c>
      <c r="H43" s="18">
        <f>'05 P&amp;L'!H21+'04 Operations'!H43</f>
        <v>0</v>
      </c>
      <c r="J43" s="17" t="s">
        <v>381</v>
      </c>
    </row>
    <row r="44" spans="3:10" x14ac:dyDescent="0.25">
      <c r="C44" s="10" t="s">
        <v>382</v>
      </c>
      <c r="D44" s="11" t="s">
        <v>30</v>
      </c>
      <c r="E44" s="65" t="str">
        <f>IF(ABS(E43)&lt;1,"PASS","CHECK")</f>
        <v>PASS</v>
      </c>
      <c r="F44" s="65" t="str">
        <f>IF(ABS(F43)&lt;1,"PASS","CHECK")</f>
        <v>PASS</v>
      </c>
      <c r="G44" s="65" t="str">
        <f>IF(ABS(G43)&lt;1,"PASS","CHECK")</f>
        <v>PASS</v>
      </c>
      <c r="H44" s="65" t="str">
        <f>IF(ABS(H43)&lt;1,"PASS","CHECK")</f>
        <v>PASS</v>
      </c>
      <c r="J44" s="13"/>
    </row>
  </sheetData>
  <conditionalFormatting sqref="E6:H44">
    <cfRule type="expression" dxfId="1" priority="2">
      <formula>E6="PASS"</formula>
    </cfRule>
    <cfRule type="expression" dxfId="0" priority="3">
      <formula>OR(E6="NOT MET",E6="CHECK",E6="ERROR",E6="OVER CAP",E6="REVIEW (&gt;60%)")</formula>
    </cfRule>
  </conditionalFormatting>
  <pageMargins left="0.4" right="0.4" top="0.5" bottom="0.5" header="0.511811023622047" footer="0.51180555555555596"/>
  <pageSetup paperSize="9" fitToHeight="0" orientation="landscape" horizontalDpi="300" verticalDpi="300"/>
  <headerFooter>
    <oddFooter>&amp;C&amp;8 &amp;A  ·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00 Summary</vt:lpstr>
      <vt:lpstr>01 Market</vt:lpstr>
      <vt:lpstr>02 Fee Schedule</vt:lpstr>
      <vt:lpstr>03 Strategy</vt:lpstr>
      <vt:lpstr>04 Operations</vt:lpstr>
      <vt:lpstr>05 P&amp;L</vt:lpstr>
      <vt:lpstr>06 Cash Flow</vt:lpstr>
      <vt:lpstr>08 Scenarios</vt:lpstr>
      <vt:lpstr>09 Checks</vt:lpstr>
      <vt:lpstr>'00 Summary'!Print_Area</vt:lpstr>
      <vt:lpstr>'01 Market'!Print_Area</vt:lpstr>
      <vt:lpstr>'02 Fee Schedule'!Print_Area</vt:lpstr>
      <vt:lpstr>'03 Strategy'!Print_Area</vt:lpstr>
      <vt:lpstr>'04 Operations'!Print_Area</vt:lpstr>
      <vt:lpstr>'05 P&amp;L'!Print_Area</vt:lpstr>
      <vt:lpstr>'06 Cash Flow'!Print_Area</vt:lpstr>
      <vt:lpstr>'08 Scenarios'!Print_Area</vt:lpstr>
      <vt:lpstr>'09 Checks'!Print_Area</vt:lpstr>
      <vt:lpstr>'00 Summary'!Print_Titles</vt:lpstr>
      <vt:lpstr>'01 Market'!Print_Titles</vt:lpstr>
      <vt:lpstr>'02 Fee Schedule'!Print_Titles</vt:lpstr>
      <vt:lpstr>'03 Strategy'!Print_Titles</vt:lpstr>
      <vt:lpstr>'04 Operations'!Print_Titles</vt:lpstr>
      <vt:lpstr>'05 P&amp;L'!Print_Titles</vt:lpstr>
      <vt:lpstr>'06 Cash Flow'!Print_Titles</vt:lpstr>
      <vt:lpstr>'08 Scenarios'!Print_Titles</vt:lpstr>
      <vt:lpstr>'09 Checks'!Print_Titles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ValueBridge Gain-Share Financial Model</dc:title>
  <dc:subject/>
  <dc:creator>ValueBridge</dc:creator>
  <dc:description/>
  <cp:lastModifiedBy>Yophiel Ngo</cp:lastModifiedBy>
  <cp:revision>0</cp:revision>
  <dcterms:created xsi:type="dcterms:W3CDTF">2026-10-17T07:08:43Z</dcterms:created>
  <dcterms:modified xsi:type="dcterms:W3CDTF">2026-10-17T07:55:49Z</dcterms:modified>
  <dc:language>en-US</dc:language>
</cp:coreProperties>
</file>