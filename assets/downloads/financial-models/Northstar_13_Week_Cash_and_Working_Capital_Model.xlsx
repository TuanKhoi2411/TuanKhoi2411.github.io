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3dc327050954845" /></Relationships>
</file>

<file path=xl/workbook.xml><?xml version="1.0" encoding="utf-8"?>
<x:workbook xmlns:x="http://schemas.openxmlformats.org/spreadsheetml/2006/main">
  <x:sheets>
    <x:sheet xmlns:r="http://schemas.openxmlformats.org/officeDocument/2006/relationships" name="Cover" sheetId="1" r:id="R2fa6fd2dc5b84891"/>
    <x:sheet xmlns:r="http://schemas.openxmlformats.org/officeDocument/2006/relationships" name="Assumptions" sheetId="2" r:id="R241d8a89067b4d03"/>
    <x:sheet xmlns:r="http://schemas.openxmlformats.org/officeDocument/2006/relationships" name="Scenarios" sheetId="3" r:id="R3cc2070a0e5a4ab7"/>
    <x:sheet xmlns:r="http://schemas.openxmlformats.org/officeDocument/2006/relationships" name="AR_Collections" sheetId="4" r:id="R6d33c81fb2344b86"/>
    <x:sheet xmlns:r="http://schemas.openxmlformats.org/officeDocument/2006/relationships" name="AP_Payments" sheetId="5" r:id="R79a0f00cc5aa4ef3"/>
    <x:sheet xmlns:r="http://schemas.openxmlformats.org/officeDocument/2006/relationships" name="Inventory" sheetId="6" r:id="Rf8b193afb36942ed"/>
    <x:sheet xmlns:r="http://schemas.openxmlformats.org/officeDocument/2006/relationships" name="13W_Cash_Flow" sheetId="7" r:id="R8ce36ca77bb04292"/>
    <x:sheet xmlns:r="http://schemas.openxmlformats.org/officeDocument/2006/relationships" name="Working_Capital" sheetId="8" r:id="R30e49349e72b43bc"/>
    <x:sheet xmlns:r="http://schemas.openxmlformats.org/officeDocument/2006/relationships" name="Dashboard" sheetId="9" r:id="R99966edcdb6f4e1e"/>
    <x:sheet xmlns:r="http://schemas.openxmlformats.org/officeDocument/2006/relationships" name="Checks" sheetId="10" r:id="R248ca215b4de4ace"/>
    <x:sheet xmlns:r="http://schemas.openxmlformats.org/officeDocument/2006/relationships" name="Sources" sheetId="11" r:id="Rad76cc92128a48cd"/>
  </x:sheets>
</x:workbook>
</file>

<file path=xl/comments1.xml><?xml version="1.0" encoding="utf-8"?>
<x:comments xmlns:x="http://schemas.openxmlformats.org/spreadsheetml/2006/main">
  <x:authors>
    <x:author>tc={28E0DCDD-FCA5-2858-F729-2533BB200DB7}</x:author>
    <x:author>tc={21E79656-9B5A-A016-6985-C88799280409}</x:author>
    <x:author>tc={01AABB50-06F7-0909-46A2-8FCF96CEBF18}</x:author>
    <x:author>tc={E9CE74DD-DC25-AC5E-CA55-040C8AADB257}</x:author>
    <x:author>tc={A52874EF-080A-A1ED-2D56-4533E5397885}</x:author>
    <x:author>tc={E86A3186-5176-C75D-E2D7-B3F2F879C1F0}</x:author>
    <x:author>tc={25D20034-D2DD-2891-3124-0472D0918520}</x:author>
    <x:author>tc={30240519-ADF0-138E-0E9A-9A50A634AB22}</x:author>
    <x:author>tc={67A7A165-D490-B67E-B04B-8624D7C1618F}</x:author>
    <x:author>tc={1F750638-E307-2CC4-71CD-E61110705A92}</x:author>
    <x:author>tc={AC6E5487-6034-303F-36F8-446C29953B4C}</x:author>
    <x:author>tc={B4378765-273F-2C38-14EB-0B853FBFBFE5}</x:author>
    <x:author>tc={1881E653-BD90-8E76-A00E-0E17508D0918}</x:author>
    <x:author>tc={1D1A22B0-652D-1FDC-0DC4-815562F15D4A}</x:author>
    <x:author>tc={CA94BC1E-7A43-E997-400C-81A6A46ED13D}</x:author>
    <x:author>tc={11FED51F-B2E5-EBD4-3911-15F005C4C8E7}</x:author>
  </x:authors>
  <x:commentList>
    <x:comment ref="B8" authorId="0">
      <x:text>
        <x:r>
          <x:t>[Threaded comment]
Your version of Excel allows you to read this threaded comment; however, any edits to it will get removed if the file is opened in a newer version of Excel. Learn more: https://go.microsoft.com/fwlink/?linkid=870924
Comment:
    Synthetic portfolio assumption | Owner: FP&amp;A | Date: 2026-08-23 | Update only with documented rationale.</x:t>
        </x:r>
      </x:text>
    </x:comment>
    <x:comment ref="B9" authorId="1">
      <x:text>
        <x:r>
          <x:t>[Threaded comment]
Your version of Excel allows you to read this threaded comment; however, any edits to it will get removed if the file is opened in a newer version of Excel. Learn more: https://go.microsoft.com/fwlink/?linkid=870924
Comment:
    Synthetic portfolio assumption | Owner: FP&amp;A | Date: 2026-08-23 | Update only with documented rationale.</x:t>
        </x:r>
      </x:text>
    </x:comment>
    <x:comment ref="B10" authorId="2">
      <x:text>
        <x:r>
          <x:t>[Threaded comment]
Your version of Excel allows you to read this threaded comment; however, any edits to it will get removed if the file is opened in a newer version of Excel. Learn more: https://go.microsoft.com/fwlink/?linkid=870924
Comment:
    Synthetic portfolio assumption | Owner: FP&amp;A | Date: 2026-08-23 | Update only with documented rationale.</x:t>
        </x:r>
      </x:text>
    </x:comment>
    <x:comment ref="B11" authorId="3">
      <x:text>
        <x:r>
          <x:t>[Threaded comment]
Your version of Excel allows you to read this threaded comment; however, any edits to it will get removed if the file is opened in a newer version of Excel. Learn more: https://go.microsoft.com/fwlink/?linkid=870924
Comment:
    Synthetic portfolio assumption | Owner: FP&amp;A | Date: 2026-08-23 | Update only with documented rationale.</x:t>
        </x:r>
      </x:text>
    </x:comment>
    <x:comment ref="B12" authorId="4">
      <x:text>
        <x:r>
          <x:t>[Threaded comment]
Your version of Excel allows you to read this threaded comment; however, any edits to it will get removed if the file is opened in a newer version of Excel. Learn more: https://go.microsoft.com/fwlink/?linkid=870924
Comment:
    Synthetic portfolio assumption | Owner: FP&amp;A | Date: 2026-08-23 | Update only with documented rationale.</x:t>
        </x:r>
      </x:text>
    </x:comment>
    <x:comment ref="B13" authorId="5">
      <x:text>
        <x:r>
          <x:t>[Threaded comment]
Your version of Excel allows you to read this threaded comment; however, any edits to it will get removed if the file is opened in a newer version of Excel. Learn more: https://go.microsoft.com/fwlink/?linkid=870924
Comment:
    Synthetic portfolio assumption | Owner: FP&amp;A | Date: 2026-08-23 | Update only with documented rationale.</x:t>
        </x:r>
      </x:text>
    </x:comment>
    <x:comment ref="B14" authorId="6">
      <x:text>
        <x:r>
          <x:t>[Threaded comment]
Your version of Excel allows you to read this threaded comment; however, any edits to it will get removed if the file is opened in a newer version of Excel. Learn more: https://go.microsoft.com/fwlink/?linkid=870924
Comment:
    Synthetic portfolio assumption | Owner: FP&amp;A | Date: 2026-08-23 | Update only with documented rationale.</x:t>
        </x:r>
      </x:text>
    </x:comment>
    <x:comment ref="B15" authorId="7">
      <x:text>
        <x:r>
          <x:t>[Threaded comment]
Your version of Excel allows you to read this threaded comment; however, any edits to it will get removed if the file is opened in a newer version of Excel. Learn more: https://go.microsoft.com/fwlink/?linkid=870924
Comment:
    Synthetic portfolio assumption | Owner: FP&amp;A | Date: 2026-08-23 | Update only with documented rationale.</x:t>
        </x:r>
      </x:text>
    </x:comment>
    <x:comment ref="B16" authorId="8">
      <x:text>
        <x:r>
          <x:t>[Threaded comment]
Your version of Excel allows you to read this threaded comment; however, any edits to it will get removed if the file is opened in a newer version of Excel. Learn more: https://go.microsoft.com/fwlink/?linkid=870924
Comment:
    Synthetic portfolio assumption | Owner: FP&amp;A | Date: 2026-08-23 | Update only with documented rationale.</x:t>
        </x:r>
      </x:text>
    </x:comment>
    <x:comment ref="B17" authorId="9">
      <x:text>
        <x:r>
          <x:t>[Threaded comment]
Your version of Excel allows you to read this threaded comment; however, any edits to it will get removed if the file is opened in a newer version of Excel. Learn more: https://go.microsoft.com/fwlink/?linkid=870924
Comment:
    Synthetic portfolio assumption | Owner: FP&amp;A | Date: 2026-08-23 | Update only with documented rationale.</x:t>
        </x:r>
      </x:text>
    </x:comment>
    <x:comment ref="B18" authorId="10">
      <x:text>
        <x:r>
          <x:t>[Threaded comment]
Your version of Excel allows you to read this threaded comment; however, any edits to it will get removed if the file is opened in a newer version of Excel. Learn more: https://go.microsoft.com/fwlink/?linkid=870924
Comment:
    Synthetic portfolio assumption | Owner: FP&amp;A | Date: 2026-08-23 | Update only with documented rationale.</x:t>
        </x:r>
      </x:text>
    </x:comment>
    <x:comment ref="B19" authorId="11">
      <x:text>
        <x:r>
          <x:t>[Threaded comment]
Your version of Excel allows you to read this threaded comment; however, any edits to it will get removed if the file is opened in a newer version of Excel. Learn more: https://go.microsoft.com/fwlink/?linkid=870924
Comment:
    Synthetic portfolio assumption | Owner: FP&amp;A | Date: 2026-08-23 | Update only with documented rationale.</x:t>
        </x:r>
      </x:text>
    </x:comment>
    <x:comment ref="B20" authorId="12">
      <x:text>
        <x:r>
          <x:t>[Threaded comment]
Your version of Excel allows you to read this threaded comment; however, any edits to it will get removed if the file is opened in a newer version of Excel. Learn more: https://go.microsoft.com/fwlink/?linkid=870924
Comment:
    Synthetic portfolio assumption | Owner: FP&amp;A | Date: 2026-08-23 | Update only with documented rationale.</x:t>
        </x:r>
      </x:text>
    </x:comment>
    <x:comment ref="B21" authorId="13">
      <x:text>
        <x:r>
          <x:t>[Threaded comment]
Your version of Excel allows you to read this threaded comment; however, any edits to it will get removed if the file is opened in a newer version of Excel. Learn more: https://go.microsoft.com/fwlink/?linkid=870924
Comment:
    Synthetic portfolio assumption | Owner: FP&amp;A | Date: 2026-08-23 | Update only with documented rationale.</x:t>
        </x:r>
      </x:text>
    </x:comment>
    <x:comment ref="B22" authorId="14">
      <x:text>
        <x:r>
          <x:t>[Threaded comment]
Your version of Excel allows you to read this threaded comment; however, any edits to it will get removed if the file is opened in a newer version of Excel. Learn more: https://go.microsoft.com/fwlink/?linkid=870924
Comment:
    Synthetic portfolio assumption | Owner: FP&amp;A | Date: 2026-08-23 | Update only with documented rationale.</x:t>
        </x:r>
      </x:text>
    </x:comment>
    <x:comment ref="B23" authorId="15">
      <x:text>
        <x:r>
          <x:t>[Threaded comment]
Your version of Excel allows you to read this threaded comment; however, any edits to it will get removed if the file is opened in a newer version of Excel. Learn more: https://go.microsoft.com/fwlink/?linkid=870924
Comment:
    Synthetic portfolio assumption | Owner: FP&amp;A | Date: 2026-08-23 | Update only with documented rationale.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Red]($#,##0);-"/>
    <x:numFmt numFmtId="201" formatCode="0.0 &quot;days&quot;"/>
    <x:numFmt numFmtId="202" formatCode="yyyy-mm-dd"/>
    <x:numFmt numFmtId="203" formatCode="0.0%;[Red](0.0%);-"/>
    <x:numFmt numFmtId="204" formatCode="0"/>
    <x:numFmt numFmtId="205" formatCode="0.0x"/>
    <x:numFmt numFmtId="206" formatCode="dd-mmm"/>
    <x:numFmt numFmtId="207" formatCode="@"/>
  </x:numFmts>
  <x:fonts count="29">
    <x:font>
      <x:sz val="11"/>
      <x:name val="Carlito"/>
    </x:font>
    <x:font>
      <x:sz val="10"/>
      <x:name val="Aptos"/>
    </x:font>
    <x:font>
      <x:b/>
      <x:sz val="22"/>
      <x:color rgb="FFFFFFFF"/>
      <x:name val="Aptos Display"/>
    </x:font>
    <x:font>
      <x:i/>
      <x:sz val="10"/>
      <x:color rgb="FF667085"/>
      <x:name val="Aptos"/>
    </x:font>
    <x:font>
      <x:b/>
      <x:sz val="18"/>
      <x:color rgb="FF111827"/>
      <x:name val="Aptos"/>
    </x:font>
    <x:font>
      <x:sz val="10"/>
      <x:color rgb="FFFFFFFF"/>
      <x:name val="Aptos"/>
    </x:font>
    <x:font>
      <x:b/>
      <x:sz val="22"/>
      <x:color rgb="FFC7F43D"/>
      <x:name val="Aptos"/>
    </x:font>
    <x:font>
      <x:b/>
      <x:sz val="22"/>
      <x:color rgb="FFFF6B4A"/>
      <x:name val="Aptos"/>
    </x:font>
    <x:font>
      <x:b/>
      <x:sz val="22"/>
      <x:color rgb="FF14866D"/>
      <x:name val="Aptos"/>
    </x:font>
    <x:font>
      <x:b/>
      <x:sz val="20"/>
      <x:color rgb="FF111827"/>
      <x:name val="Aptos"/>
    </x:font>
    <x:font>
      <x:b/>
      <x:sz val="11"/>
      <x:color rgb="FFFFFFFF"/>
      <x:name val="Aptos"/>
    </x:font>
    <x:font>
      <x:b/>
      <x:sz val="10"/>
      <x:color rgb="FF111827"/>
      <x:name val="Aptos"/>
    </x:font>
    <x:font>
      <x:b/>
      <x:sz val="12"/>
      <x:color rgb="FF2F5BFF"/>
      <x:name val="Aptos"/>
    </x:font>
    <x:font>
      <x:sz val="11"/>
      <x:color rgb="FF667085"/>
      <x:name val="Aptos"/>
    </x:font>
    <x:font>
      <x:sz val="10"/>
      <x:color rgb="FF000000"/>
      <x:name val="Aptos"/>
    </x:font>
    <x:font>
      <x:sz val="10"/>
      <x:color rgb="FF2F5BFF"/>
      <x:name val="Aptos"/>
    </x:font>
    <x:font>
      <x:sz val="10"/>
      <x:color rgb="FF008000"/>
      <x:name val="Aptos"/>
    </x:font>
    <x:font>
      <x:sz val="10"/>
      <x:color rgb="FF667085"/>
      <x:name val="Aptos"/>
    </x:font>
    <x:font>
      <x:b/>
      <x:sz val="10"/>
      <x:color rgb="FFFFFFFF"/>
      <x:name val="Aptos"/>
    </x:font>
    <x:font>
      <x:b/>
      <x:sz val="10"/>
      <x:color rgb="FF008000"/>
      <x:name val="Aptos"/>
    </x:font>
    <x:font>
      <x:i/>
      <x:sz val="10"/>
      <x:color rgb="FF008000"/>
      <x:name val="Aptos"/>
    </x:font>
    <x:font>
      <x:b/>
      <x:sz val="12"/>
      <x:color rgb="FF111827"/>
      <x:name val="Aptos"/>
    </x:font>
    <x:font>
      <x:b/>
      <x:sz val="9"/>
      <x:color rgb="FFFFFFFF"/>
      <x:name val="Aptos"/>
    </x:font>
    <x:font>
      <x:b/>
      <x:sz val="20"/>
      <x:color rgb="FF14866D"/>
      <x:name val="Aptos"/>
    </x:font>
    <x:font>
      <x:b/>
      <x:sz val="20"/>
      <x:color rgb="FFFF6B4A"/>
      <x:name val="Aptos"/>
    </x:font>
    <x:font>
      <x:b/>
      <x:sz val="20"/>
      <x:color rgb="FF2F5BFF"/>
      <x:name val="Aptos"/>
    </x:font>
    <x:font>
      <x:sz val="12"/>
      <x:color rgb="FFFFFFFF"/>
      <x:name val="Aptos"/>
    </x:font>
    <x:font>
      <x:b/>
      <x:i/>
      <x:sz val="14"/>
      <x:color rgb="FF111827"/>
      <x:name val="Aptos"/>
    </x:font>
    <x:font>
      <x:b/>
      <x:sz val="10"/>
      <x:color rgb="FF000000"/>
      <x:name val="Aptos"/>
    </x:font>
  </x:fonts>
  <x:fills count="11">
    <x:fill>
      <x:patternFill patternType="none"/>
    </x:fill>
    <x:fill>
      <x:patternFill patternType="gray125"/>
    </x:fill>
    <x:fill>
      <x:patternFill patternType="solid">
        <x:fgColor rgb="FF111827"/>
      </x:patternFill>
    </x:fill>
    <x:fill>
      <x:patternFill patternType="solid">
        <x:fgColor rgb="FFF6F1E7"/>
      </x:patternFill>
    </x:fill>
    <x:fill>
      <x:patternFill patternType="solid">
        <x:fgColor rgb="FFFFFDFC"/>
      </x:patternFill>
    </x:fill>
    <x:fill>
      <x:patternFill patternType="solid">
        <x:fgColor rgb="FFC7F43D"/>
      </x:patternFill>
    </x:fill>
    <x:fill>
      <x:patternFill patternType="solid">
        <x:fgColor rgb="FF1F2937"/>
      </x:patternFill>
    </x:fill>
    <x:fill>
      <x:patternFill patternType="solid">
        <x:fgColor rgb="FFEEF3FF"/>
      </x:patternFill>
    </x:fill>
    <x:fill>
      <x:patternFill patternType="solid">
        <x:fgColor rgb="FFFFF6CC"/>
      </x:patternFill>
    </x:fill>
    <x:fill>
      <x:patternFill patternType="solid">
        <x:fgColor rgb="FFE8F7F1"/>
      </x:patternFill>
    </x:fill>
    <x:fill>
      <x:patternFill patternType="solid">
        <x:fgColor rgb="FFFFE7E1"/>
      </x:patternFill>
    </x:fill>
  </x:fills>
  <x:borders count="24">
    <x:border/>
    <x:border>
      <x:left style="medium">
        <x:color rgb="FF111827"/>
      </x:left>
      <x:top style="medium">
        <x:color rgb="FF111827"/>
      </x:top>
    </x:border>
    <x:border>
      <x:top style="medium">
        <x:color rgb="FF111827"/>
      </x:top>
    </x:border>
    <x:border>
      <x:right style="medium">
        <x:color rgb="FF111827"/>
      </x:right>
      <x:top style="medium">
        <x:color rgb="FF111827"/>
      </x:top>
    </x:border>
    <x:border>
      <x:left style="medium">
        <x:color rgb="FF111827"/>
      </x:left>
    </x:border>
    <x:border>
      <x:right style="medium">
        <x:color rgb="FF111827"/>
      </x:right>
    </x:border>
    <x:border>
      <x:left style="medium">
        <x:color rgb="FF111827"/>
      </x:left>
      <x:bottom style="medium">
        <x:color rgb="FF111827"/>
      </x:bottom>
    </x:border>
    <x:border>
      <x:bottom style="medium">
        <x:color rgb="FF111827"/>
      </x:bottom>
    </x:border>
    <x:border>
      <x:right style="medium">
        <x:color rgb="FF111827"/>
      </x:right>
      <x:bottom style="medium">
        <x:color rgb="FF111827"/>
      </x:bottom>
    </x:border>
    <x:border>
      <x:left style="thin">
        <x:color rgb="FFD6D1C8"/>
      </x:left>
      <x:right style="thin">
        <x:color rgb="FFD6D1C8"/>
      </x:right>
      <x:top style="thin">
        <x:color rgb="FFD6D1C8"/>
      </x:top>
      <x:bottom style="thin">
        <x:color rgb="FFD6D1C8"/>
      </x:bottom>
    </x:border>
    <x:border>
      <x:left style="thin">
        <x:color rgb="FFD6D1C8"/>
      </x:left>
      <x:top style="thin">
        <x:color rgb="FFD6D1C8"/>
      </x:top>
    </x:border>
    <x:border>
      <x:top style="thin">
        <x:color rgb="FFD6D1C8"/>
      </x:top>
    </x:border>
    <x:border>
      <x:right style="thin">
        <x:color rgb="FFD6D1C8"/>
      </x:right>
      <x:top style="thin">
        <x:color rgb="FFD6D1C8"/>
      </x:top>
    </x:border>
    <x:border>
      <x:left style="thin">
        <x:color rgb="FFD6D1C8"/>
      </x:left>
    </x:border>
    <x:border>
      <x:right style="thin">
        <x:color rgb="FFD6D1C8"/>
      </x:right>
    </x:border>
    <x:border>
      <x:left style="thin">
        <x:color rgb="FFD6D1C8"/>
      </x:left>
      <x:bottom style="thin">
        <x:color rgb="FFD6D1C8"/>
      </x:bottom>
    </x:border>
    <x:border>
      <x:bottom style="thin">
        <x:color rgb="FFD6D1C8"/>
      </x:bottom>
    </x:border>
    <x:border>
      <x:right style="thin">
        <x:color rgb="FFD6D1C8"/>
      </x:right>
      <x:bottom style="thin">
        <x:color rgb="FFD6D1C8"/>
      </x:bottom>
    </x:border>
    <x:border>
      <x:top style="thin">
        <x:color rgb="FFD6D1C8"/>
      </x:top>
      <x:bottom style="thin">
        <x:color rgb="FFD6D1C8"/>
      </x:bottom>
    </x:border>
    <x:border>
      <x:left style="medium">
        <x:color rgb="FF111827"/>
      </x:left>
      <x:top style="medium">
        <x:color rgb="FF111827"/>
      </x:top>
      <x:bottom style="medium">
        <x:color rgb="FF111827"/>
      </x:bottom>
    </x:border>
    <x:border>
      <x:top style="medium">
        <x:color rgb="FF111827"/>
      </x:top>
      <x:bottom style="medium">
        <x:color rgb="FF111827"/>
      </x:bottom>
    </x:border>
    <x:border>
      <x:right style="medium">
        <x:color rgb="FF111827"/>
      </x:right>
      <x:top style="medium">
        <x:color rgb="FF111827"/>
      </x:top>
      <x:bottom style="medium">
        <x:color rgb="FF111827"/>
      </x:bottom>
    </x:border>
    <x:border>
      <x:top style="thin">
        <x:color rgb="FFD6D1C8"/>
      </x:top>
      <x:bottom style="medium">
        <x:color rgb="FF14866D"/>
      </x:bottom>
    </x:border>
    <x:border>
      <x:top style="thin">
        <x:color rgb="FFD6D1C8"/>
      </x:top>
      <x:bottom style="medium">
        <x:color rgb="FFFF6B4A"/>
      </x:bottom>
    </x:border>
  </x:borders>
  <x:cellStyleXfs count="1">
    <x:xf numFmtId="0" fontId="0" fillId="0" borderId="0"/>
  </x:cellStyleXfs>
  <x:cellXfs count="345">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4" fillId="0" borderId="0" xfId="0" applyNumberFormat="1" applyFont="1" applyFill="1" applyBorder="1"/>
    <x:xf numFmtId="0" fontId="4" fillId="0" borderId="0" xfId="0" applyNumberFormat="1" applyFont="1" applyFill="1" applyBorder="1" applyAlignment="1">
      <x:alignment wrapText="1"/>
    </x:xf>
    <x:xf numFmtId="0" fontId="5" fillId="2" borderId="0" xfId="0" applyNumberFormat="1" applyFont="1" applyFill="1" applyBorder="1"/>
    <x:xf numFmtId="0" fontId="5" fillId="2" borderId="1" xfId="0" applyNumberFormat="1" applyFont="1" applyFill="1" applyBorder="1"/>
    <x:xf numFmtId="0" fontId="5" fillId="2" borderId="2" xfId="0" applyNumberFormat="1" applyFont="1" applyFill="1" applyBorder="1"/>
    <x:xf numFmtId="0" fontId="5" fillId="2" borderId="3" xfId="0" applyNumberFormat="1" applyFont="1" applyFill="1" applyBorder="1"/>
    <x:xf numFmtId="0" fontId="5" fillId="2" borderId="4" xfId="0" applyNumberFormat="1" applyFont="1" applyFill="1" applyBorder="1"/>
    <x:xf numFmtId="0" fontId="5" fillId="2" borderId="5" xfId="0" applyNumberFormat="1" applyFont="1" applyFill="1" applyBorder="1"/>
    <x:xf numFmtId="0" fontId="5" fillId="2" borderId="6" xfId="0" applyNumberFormat="1" applyFont="1" applyFill="1" applyBorder="1"/>
    <x:xf numFmtId="0" fontId="5" fillId="2" borderId="7" xfId="0" applyNumberFormat="1" applyFont="1" applyFill="1" applyBorder="1"/>
    <x:xf numFmtId="0" fontId="5" fillId="2" borderId="8" xfId="0" applyNumberFormat="1" applyFont="1" applyFill="1" applyBorder="1"/>
    <x:xf numFmtId="0" fontId="6" fillId="2" borderId="4" xfId="0" applyNumberFormat="1" applyFont="1" applyFill="1" applyBorder="1"/>
    <x:xf numFmtId="0" fontId="6" fillId="2" borderId="0" xfId="0" applyNumberFormat="1" applyFont="1" applyFill="1" applyBorder="1"/>
    <x:xf numFmtId="0" fontId="6" fillId="2" borderId="5" xfId="0" applyNumberFormat="1" applyFont="1" applyFill="1" applyBorder="1"/>
    <x:xf numFmtId="200" fontId="6" fillId="2" borderId="4" xfId="0" applyNumberFormat="1" applyFont="1" applyFill="1" applyBorder="1"/>
    <x:xf numFmtId="200" fontId="6" fillId="2" borderId="0" xfId="0" applyNumberFormat="1" applyFont="1" applyFill="1" applyBorder="1"/>
    <x:xf numFmtId="200" fontId="6" fillId="2" borderId="5" xfId="0" applyNumberFormat="1" applyFont="1" applyFill="1" applyBorder="1"/>
    <x:xf numFmtId="200" fontId="6" fillId="2" borderId="4" xfId="0" applyNumberFormat="1" applyFont="1" applyFill="1" applyBorder="1" applyAlignment="1">
      <x:alignment vertical="center"/>
    </x:xf>
    <x:xf numFmtId="200" fontId="6" fillId="2" borderId="0" xfId="0" applyNumberFormat="1" applyFont="1" applyFill="1" applyBorder="1" applyAlignment="1">
      <x:alignment vertical="center"/>
    </x:xf>
    <x:xf numFmtId="200" fontId="6" fillId="2" borderId="5" xfId="0" applyNumberFormat="1" applyFont="1" applyFill="1" applyBorder="1" applyAlignment="1">
      <x:alignment vertical="center"/>
    </x:xf>
    <x:xf numFmtId="0" fontId="1" fillId="4" borderId="0" xfId="0" applyNumberFormat="1" applyFont="1" applyFill="1" applyBorder="1"/>
    <x:xf numFmtId="0" fontId="1" fillId="4" borderId="1" xfId="0" applyNumberFormat="1" applyFont="1" applyFill="1" applyBorder="1"/>
    <x:xf numFmtId="0" fontId="1" fillId="4" borderId="2" xfId="0" applyNumberFormat="1" applyFont="1" applyFill="1" applyBorder="1"/>
    <x:xf numFmtId="0" fontId="1" fillId="4" borderId="3" xfId="0" applyNumberFormat="1" applyFont="1" applyFill="1" applyBorder="1"/>
    <x:xf numFmtId="0" fontId="1" fillId="4" borderId="4" xfId="0" applyNumberFormat="1" applyFont="1" applyFill="1" applyBorder="1"/>
    <x:xf numFmtId="0" fontId="1" fillId="4" borderId="5" xfId="0" applyNumberFormat="1" applyFont="1" applyFill="1" applyBorder="1"/>
    <x:xf numFmtId="0" fontId="1" fillId="4" borderId="6" xfId="0" applyNumberFormat="1" applyFont="1" applyFill="1" applyBorder="1"/>
    <x:xf numFmtId="0" fontId="1" fillId="4" borderId="7" xfId="0" applyNumberFormat="1" applyFont="1" applyFill="1" applyBorder="1"/>
    <x:xf numFmtId="0" fontId="1" fillId="4" borderId="8" xfId="0" applyNumberFormat="1" applyFont="1" applyFill="1" applyBorder="1"/>
    <x:xf numFmtId="0" fontId="7" fillId="4" borderId="4" xfId="0" applyNumberFormat="1" applyFont="1" applyFill="1" applyBorder="1"/>
    <x:xf numFmtId="0" fontId="7" fillId="4" borderId="0" xfId="0" applyNumberFormat="1" applyFont="1" applyFill="1" applyBorder="1"/>
    <x:xf numFmtId="0" fontId="7" fillId="4" borderId="5" xfId="0" applyNumberFormat="1" applyFont="1" applyFill="1" applyBorder="1"/>
    <x:xf numFmtId="200" fontId="7" fillId="4" borderId="4" xfId="0" applyNumberFormat="1" applyFont="1" applyFill="1" applyBorder="1"/>
    <x:xf numFmtId="200" fontId="7" fillId="4" borderId="0" xfId="0" applyNumberFormat="1" applyFont="1" applyFill="1" applyBorder="1"/>
    <x:xf numFmtId="200" fontId="7" fillId="4" borderId="5" xfId="0" applyNumberFormat="1" applyFont="1" applyFill="1" applyBorder="1"/>
    <x:xf numFmtId="200" fontId="7" fillId="4" borderId="4" xfId="0" applyNumberFormat="1" applyFont="1" applyFill="1" applyBorder="1" applyAlignment="1">
      <x:alignment vertical="center"/>
    </x:xf>
    <x:xf numFmtId="200" fontId="7" fillId="4" borderId="0" xfId="0" applyNumberFormat="1" applyFont="1" applyFill="1" applyBorder="1" applyAlignment="1">
      <x:alignment vertical="center"/>
    </x:xf>
    <x:xf numFmtId="200" fontId="7" fillId="4" borderId="5" xfId="0" applyNumberFormat="1" applyFont="1" applyFill="1" applyBorder="1" applyAlignment="1">
      <x:alignment vertical="center"/>
    </x:xf>
    <x:xf numFmtId="0" fontId="8" fillId="4" borderId="4" xfId="0" applyNumberFormat="1" applyFont="1" applyFill="1" applyBorder="1"/>
    <x:xf numFmtId="0" fontId="8" fillId="4" borderId="0" xfId="0" applyNumberFormat="1" applyFont="1" applyFill="1" applyBorder="1"/>
    <x:xf numFmtId="0" fontId="8" fillId="4" borderId="5" xfId="0" applyNumberFormat="1" applyFont="1" applyFill="1" applyBorder="1"/>
    <x:xf numFmtId="201" fontId="8" fillId="4" borderId="4" xfId="0" applyNumberFormat="1" applyFont="1" applyFill="1" applyBorder="1"/>
    <x:xf numFmtId="201" fontId="8" fillId="4" borderId="0" xfId="0" applyNumberFormat="1" applyFont="1" applyFill="1" applyBorder="1"/>
    <x:xf numFmtId="201" fontId="8" fillId="4" borderId="5" xfId="0" applyNumberFormat="1" applyFont="1" applyFill="1" applyBorder="1"/>
    <x:xf numFmtId="201" fontId="8" fillId="4" borderId="4" xfId="0" applyNumberFormat="1" applyFont="1" applyFill="1" applyBorder="1" applyAlignment="1">
      <x:alignment vertical="center"/>
    </x:xf>
    <x:xf numFmtId="201" fontId="8" fillId="4" borderId="0" xfId="0" applyNumberFormat="1" applyFont="1" applyFill="1" applyBorder="1" applyAlignment="1">
      <x:alignment vertical="center"/>
    </x:xf>
    <x:xf numFmtId="201" fontId="8" fillId="4" borderId="5" xfId="0" applyNumberFormat="1" applyFont="1" applyFill="1" applyBorder="1" applyAlignment="1">
      <x:alignment vertical="center"/>
    </x:xf>
    <x:xf numFmtId="0" fontId="1" fillId="5" borderId="0" xfId="0" applyNumberFormat="1" applyFont="1" applyFill="1" applyBorder="1"/>
    <x:xf numFmtId="0" fontId="1" fillId="5" borderId="1" xfId="0" applyNumberFormat="1" applyFont="1" applyFill="1" applyBorder="1"/>
    <x:xf numFmtId="0" fontId="1" fillId="5" borderId="3" xfId="0" applyNumberFormat="1" applyFont="1" applyFill="1" applyBorder="1"/>
    <x:xf numFmtId="0" fontId="1" fillId="5" borderId="4" xfId="0" applyNumberFormat="1" applyFont="1" applyFill="1" applyBorder="1"/>
    <x:xf numFmtId="0" fontId="1" fillId="5" borderId="5" xfId="0" applyNumberFormat="1" applyFont="1" applyFill="1" applyBorder="1"/>
    <x:xf numFmtId="0" fontId="1" fillId="5" borderId="6" xfId="0" applyNumberFormat="1" applyFont="1" applyFill="1" applyBorder="1"/>
    <x:xf numFmtId="0" fontId="1" fillId="5" borderId="8" xfId="0" applyNumberFormat="1" applyFont="1" applyFill="1" applyBorder="1"/>
    <x:xf numFmtId="0" fontId="9" fillId="5" borderId="4" xfId="0" applyNumberFormat="1" applyFont="1" applyFill="1" applyBorder="1"/>
    <x:xf numFmtId="0" fontId="9" fillId="5" borderId="5" xfId="0" applyNumberFormat="1" applyFont="1" applyFill="1" applyBorder="1"/>
    <x:xf numFmtId="0" fontId="9" fillId="5" borderId="4" xfId="0" applyNumberFormat="1" applyFont="1" applyFill="1" applyBorder="1" applyAlignment="1">
      <x:alignment horizontal="center"/>
    </x:xf>
    <x:xf numFmtId="0" fontId="9" fillId="5" borderId="5" xfId="0" applyNumberFormat="1" applyFont="1" applyFill="1" applyBorder="1" applyAlignment="1">
      <x:alignment horizontal="center"/>
    </x:xf>
    <x:xf numFmtId="0" fontId="9" fillId="5" borderId="4" xfId="0" applyNumberFormat="1" applyFont="1" applyFill="1" applyBorder="1" applyAlignment="1">
      <x:alignment horizontal="center" vertical="center"/>
    </x:xf>
    <x:xf numFmtId="0" fontId="9" fillId="5" borderId="5" xfId="0" applyNumberFormat="1" applyFont="1" applyFill="1" applyBorder="1" applyAlignment="1">
      <x:alignment horizontal="center" vertical="center"/>
    </x:xf>
    <x:xf numFmtId="0" fontId="1"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vertical="center"/>
    </x:xf>
    <x:xf numFmtId="0" fontId="11" fillId="4" borderId="0" xfId="0" applyNumberFormat="1" applyFont="1" applyFill="1" applyBorder="1"/>
    <x:xf numFmtId="0" fontId="11" fillId="4" borderId="9" xfId="0" applyNumberFormat="1" applyFont="1" applyFill="1" applyBorder="1"/>
    <x:xf numFmtId="0" fontId="11" fillId="4" borderId="9" xfId="0" applyNumberFormat="1" applyFont="1" applyFill="1" applyBorder="1" applyAlignment="1">
      <x:alignment wrapText="1"/>
    </x:xf>
    <x:xf numFmtId="0" fontId="11" fillId="4" borderId="9" xfId="0" applyNumberFormat="1" applyFont="1" applyFill="1" applyBorder="1" applyAlignment="1">
      <x:alignment horizontal="center" wrapText="1"/>
    </x:xf>
    <x:xf numFmtId="0" fontId="11" fillId="4" borderId="9" xfId="0" applyNumberFormat="1" applyFont="1" applyFill="1" applyBorder="1" applyAlignment="1">
      <x:alignment horizontal="center" vertical="center" wrapText="1"/>
    </x:xf>
    <x:xf numFmtId="0" fontId="11" fillId="7" borderId="9" xfId="0" applyNumberFormat="1" applyFont="1" applyFill="1" applyBorder="1" applyAlignment="1">
      <x:alignment horizontal="center" vertical="center" wrapText="1"/>
    </x:xf>
    <x:xf numFmtId="0" fontId="12" fillId="0" borderId="0" xfId="0" applyNumberFormat="1" applyFont="1" applyFill="1" applyBorder="1"/>
    <x:xf numFmtId="0" fontId="13" fillId="3" borderId="0" xfId="0" applyNumberFormat="1" applyFont="1" applyFill="1" applyBorder="1"/>
    <x:xf numFmtId="0" fontId="13" fillId="3" borderId="10" xfId="0" applyNumberFormat="1" applyFont="1" applyFill="1" applyBorder="1"/>
    <x:xf numFmtId="0" fontId="13" fillId="3" borderId="11" xfId="0" applyNumberFormat="1" applyFont="1" applyFill="1" applyBorder="1"/>
    <x:xf numFmtId="0" fontId="13" fillId="3" borderId="12" xfId="0" applyNumberFormat="1" applyFont="1" applyFill="1" applyBorder="1"/>
    <x:xf numFmtId="0" fontId="13" fillId="3" borderId="13" xfId="0" applyNumberFormat="1" applyFont="1" applyFill="1" applyBorder="1"/>
    <x:xf numFmtId="0" fontId="13" fillId="3" borderId="14" xfId="0" applyNumberFormat="1" applyFont="1" applyFill="1" applyBorder="1"/>
    <x:xf numFmtId="0" fontId="13" fillId="3" borderId="15" xfId="0" applyNumberFormat="1" applyFont="1" applyFill="1" applyBorder="1"/>
    <x:xf numFmtId="0" fontId="13" fillId="3" borderId="16" xfId="0" applyNumberFormat="1" applyFont="1" applyFill="1" applyBorder="1"/>
    <x:xf numFmtId="0" fontId="13" fillId="3" borderId="17" xfId="0" applyNumberFormat="1" applyFont="1" applyFill="1" applyBorder="1"/>
    <x:xf numFmtId="0" fontId="13" fillId="3" borderId="10" xfId="0" applyNumberFormat="1" applyFont="1" applyFill="1" applyBorder="1" applyAlignment="1">
      <x:alignment wrapText="1"/>
    </x:xf>
    <x:xf numFmtId="0" fontId="13" fillId="3" borderId="11" xfId="0" applyNumberFormat="1" applyFont="1" applyFill="1" applyBorder="1" applyAlignment="1">
      <x:alignment wrapText="1"/>
    </x:xf>
    <x:xf numFmtId="0" fontId="13" fillId="3" borderId="12" xfId="0" applyNumberFormat="1" applyFont="1" applyFill="1" applyBorder="1" applyAlignment="1">
      <x:alignment wrapText="1"/>
    </x:xf>
    <x:xf numFmtId="0" fontId="13" fillId="3" borderId="13" xfId="0" applyNumberFormat="1" applyFont="1" applyFill="1" applyBorder="1" applyAlignment="1">
      <x:alignment wrapText="1"/>
    </x:xf>
    <x:xf numFmtId="0" fontId="13" fillId="3" borderId="0" xfId="0" applyNumberFormat="1" applyFont="1" applyFill="1" applyBorder="1" applyAlignment="1">
      <x:alignment wrapText="1"/>
    </x:xf>
    <x:xf numFmtId="0" fontId="13" fillId="3" borderId="14" xfId="0" applyNumberFormat="1" applyFont="1" applyFill="1" applyBorder="1" applyAlignment="1">
      <x:alignment wrapText="1"/>
    </x:xf>
    <x:xf numFmtId="0" fontId="13" fillId="3" borderId="15" xfId="0" applyNumberFormat="1" applyFont="1" applyFill="1" applyBorder="1" applyAlignment="1">
      <x:alignment wrapText="1"/>
    </x:xf>
    <x:xf numFmtId="0" fontId="13" fillId="3" borderId="16" xfId="0" applyNumberFormat="1" applyFont="1" applyFill="1" applyBorder="1" applyAlignment="1">
      <x:alignment wrapText="1"/>
    </x:xf>
    <x:xf numFmtId="0" fontId="13" fillId="3" borderId="17" xfId="0" applyNumberFormat="1" applyFont="1" applyFill="1" applyBorder="1" applyAlignment="1">
      <x:alignment wrapText="1"/>
    </x:xf>
    <x:xf numFmtId="0" fontId="13" fillId="3" borderId="10" xfId="0" applyNumberFormat="1" applyFont="1" applyFill="1" applyBorder="1" applyAlignment="1">
      <x:alignment vertical="top" wrapText="1"/>
    </x:xf>
    <x:xf numFmtId="0" fontId="13" fillId="3" borderId="11" xfId="0" applyNumberFormat="1" applyFont="1" applyFill="1" applyBorder="1" applyAlignment="1">
      <x:alignment vertical="top" wrapText="1"/>
    </x:xf>
    <x:xf numFmtId="0" fontId="13" fillId="3" borderId="12" xfId="0" applyNumberFormat="1" applyFont="1" applyFill="1" applyBorder="1" applyAlignment="1">
      <x:alignment vertical="top" wrapText="1"/>
    </x:xf>
    <x:xf numFmtId="0" fontId="13" fillId="3" borderId="13" xfId="0" applyNumberFormat="1" applyFont="1" applyFill="1" applyBorder="1" applyAlignment="1">
      <x:alignment vertical="top" wrapText="1"/>
    </x:xf>
    <x:xf numFmtId="0" fontId="13" fillId="3" borderId="0" xfId="0" applyNumberFormat="1" applyFont="1" applyFill="1" applyBorder="1" applyAlignment="1">
      <x:alignment vertical="top" wrapText="1"/>
    </x:xf>
    <x:xf numFmtId="0" fontId="13" fillId="3" borderId="14" xfId="0" applyNumberFormat="1" applyFont="1" applyFill="1" applyBorder="1" applyAlignment="1">
      <x:alignment vertical="top" wrapText="1"/>
    </x:xf>
    <x:xf numFmtId="0" fontId="13" fillId="3" borderId="15" xfId="0" applyNumberFormat="1" applyFont="1" applyFill="1" applyBorder="1" applyAlignment="1">
      <x:alignment vertical="top" wrapText="1"/>
    </x:xf>
    <x:xf numFmtId="0" fontId="13" fillId="3" borderId="16" xfId="0" applyNumberFormat="1" applyFont="1" applyFill="1" applyBorder="1" applyAlignment="1">
      <x:alignment vertical="top" wrapText="1"/>
    </x:xf>
    <x:xf numFmtId="0" fontId="13" fillId="3" borderId="17" xfId="0" applyNumberFormat="1" applyFont="1" applyFill="1" applyBorder="1" applyAlignment="1">
      <x:alignment vertical="top" wrapText="1"/>
    </x:xf>
    <x:xf numFmtId="0" fontId="14" fillId="4" borderId="0" xfId="0" applyNumberFormat="1" applyFont="1" applyFill="1" applyBorder="1"/>
    <x:xf numFmtId="0" fontId="14" fillId="4" borderId="16" xfId="0" applyNumberFormat="1" applyFont="1" applyFill="1" applyBorder="1"/>
    <x:xf numFmtId="0" fontId="14" fillId="4" borderId="18" xfId="0" applyNumberFormat="1" applyFont="1" applyFill="1" applyBorder="1"/>
    <x:xf numFmtId="0" fontId="14" fillId="4" borderId="16" xfId="0" applyNumberFormat="1" applyFont="1" applyFill="1" applyBorder="1" applyAlignment="1">
      <x:alignment vertical="center"/>
    </x:xf>
    <x:xf numFmtId="0" fontId="14" fillId="4" borderId="18" xfId="0" applyNumberFormat="1" applyFont="1" applyFill="1" applyBorder="1" applyAlignment="1">
      <x:alignment vertical="center"/>
    </x:xf>
    <x:xf numFmtId="0" fontId="15" fillId="4" borderId="16" xfId="0" applyNumberFormat="1" applyFont="1" applyFill="1" applyBorder="1" applyAlignment="1">
      <x:alignment vertical="center"/>
    </x:xf>
    <x:xf numFmtId="0" fontId="15" fillId="4" borderId="18" xfId="0" applyNumberFormat="1" applyFont="1" applyFill="1" applyBorder="1" applyAlignment="1">
      <x:alignment vertical="center"/>
    </x:xf>
    <x:xf numFmtId="0" fontId="15" fillId="8" borderId="16" xfId="0" applyNumberFormat="1" applyFont="1" applyFill="1" applyBorder="1" applyAlignment="1">
      <x:alignment vertical="center"/>
    </x:xf>
    <x:xf numFmtId="0" fontId="15" fillId="8" borderId="18" xfId="0" applyNumberFormat="1" applyFont="1" applyFill="1" applyBorder="1" applyAlignment="1">
      <x:alignment vertical="center"/>
    </x:xf>
    <x:xf numFmtId="202" fontId="15" fillId="8" borderId="18" xfId="0" applyNumberFormat="1" applyFont="1" applyFill="1" applyBorder="1" applyAlignment="1">
      <x:alignment vertical="center"/>
    </x:xf>
    <x:xf numFmtId="200" fontId="15" fillId="8" borderId="18" xfId="0" applyNumberFormat="1" applyFont="1" applyFill="1" applyBorder="1" applyAlignment="1">
      <x:alignment vertical="center"/>
    </x:xf>
    <x:xf numFmtId="203" fontId="15" fillId="8" borderId="18" xfId="0" applyNumberFormat="1" applyFont="1" applyFill="1" applyBorder="1" applyAlignment="1">
      <x:alignment vertical="center"/>
    </x:xf>
    <x:xf numFmtId="204" fontId="15" fillId="8" borderId="18" xfId="0" applyNumberFormat="1" applyFont="1" applyFill="1" applyBorder="1" applyAlignment="1">
      <x:alignment vertical="center"/>
    </x:xf>
    <x:xf numFmtId="0" fontId="16" fillId="4" borderId="16" xfId="0" applyNumberFormat="1" applyFont="1" applyFill="1" applyBorder="1" applyAlignment="1">
      <x:alignment vertical="center"/>
    </x:xf>
    <x:xf numFmtId="0" fontId="16" fillId="4" borderId="18" xfId="0" applyNumberFormat="1" applyFont="1" applyFill="1" applyBorder="1" applyAlignment="1">
      <x:alignment vertical="center"/>
    </x:xf>
    <x:xf numFmtId="203" fontId="16" fillId="4" borderId="16" xfId="0" applyNumberFormat="1" applyFont="1" applyFill="1" applyBorder="1" applyAlignment="1">
      <x:alignment vertical="center"/>
    </x:xf>
    <x:xf numFmtId="203" fontId="16" fillId="4" borderId="18" xfId="0" applyNumberFormat="1" applyFont="1" applyFill="1" applyBorder="1" applyAlignment="1">
      <x:alignment vertical="center"/>
    </x:xf>
    <x:xf numFmtId="204" fontId="16" fillId="4" borderId="18" xfId="0" applyNumberFormat="1" applyFont="1" applyFill="1" applyBorder="1" applyAlignment="1">
      <x:alignment vertical="center"/>
    </x:xf>
    <x:xf numFmtId="0" fontId="1" fillId="7" borderId="0" xfId="0" applyNumberFormat="1" applyFont="1" applyFill="1" applyBorder="1"/>
    <x:xf numFmtId="0" fontId="17" fillId="7" borderId="0" xfId="0" applyNumberFormat="1" applyFont="1" applyFill="1" applyBorder="1"/>
    <x:xf numFmtId="0" fontId="17" fillId="7" borderId="10" xfId="0" applyNumberFormat="1" applyFont="1" applyFill="1" applyBorder="1"/>
    <x:xf numFmtId="0" fontId="17" fillId="7" borderId="11" xfId="0" applyNumberFormat="1" applyFont="1" applyFill="1" applyBorder="1"/>
    <x:xf numFmtId="0" fontId="17" fillId="7" borderId="12" xfId="0" applyNumberFormat="1" applyFont="1" applyFill="1" applyBorder="1"/>
    <x:xf numFmtId="0" fontId="17" fillId="7" borderId="13" xfId="0" applyNumberFormat="1" applyFont="1" applyFill="1" applyBorder="1"/>
    <x:xf numFmtId="0" fontId="17" fillId="7" borderId="14" xfId="0" applyNumberFormat="1" applyFont="1" applyFill="1" applyBorder="1"/>
    <x:xf numFmtId="0" fontId="17" fillId="7" borderId="15" xfId="0" applyNumberFormat="1" applyFont="1" applyFill="1" applyBorder="1"/>
    <x:xf numFmtId="0" fontId="17" fillId="7" borderId="16" xfId="0" applyNumberFormat="1" applyFont="1" applyFill="1" applyBorder="1"/>
    <x:xf numFmtId="0" fontId="17" fillId="7" borderId="17" xfId="0" applyNumberFormat="1" applyFont="1" applyFill="1" applyBorder="1"/>
    <x:xf numFmtId="0" fontId="17" fillId="7" borderId="10" xfId="0" applyNumberFormat="1" applyFont="1" applyFill="1" applyBorder="1" applyAlignment="1">
      <x:alignment wrapText="1"/>
    </x:xf>
    <x:xf numFmtId="0" fontId="17" fillId="7" borderId="11" xfId="0" applyNumberFormat="1" applyFont="1" applyFill="1" applyBorder="1" applyAlignment="1">
      <x:alignment wrapText="1"/>
    </x:xf>
    <x:xf numFmtId="0" fontId="17" fillId="7" borderId="12" xfId="0" applyNumberFormat="1" applyFont="1" applyFill="1" applyBorder="1" applyAlignment="1">
      <x:alignment wrapText="1"/>
    </x:xf>
    <x:xf numFmtId="0" fontId="17" fillId="7" borderId="13" xfId="0" applyNumberFormat="1" applyFont="1" applyFill="1" applyBorder="1" applyAlignment="1">
      <x:alignment wrapText="1"/>
    </x:xf>
    <x:xf numFmtId="0" fontId="17" fillId="7" borderId="0" xfId="0" applyNumberFormat="1" applyFont="1" applyFill="1" applyBorder="1" applyAlignment="1">
      <x:alignment wrapText="1"/>
    </x:xf>
    <x:xf numFmtId="0" fontId="17" fillId="7" borderId="14" xfId="0" applyNumberFormat="1" applyFont="1" applyFill="1" applyBorder="1" applyAlignment="1">
      <x:alignment wrapText="1"/>
    </x:xf>
    <x:xf numFmtId="0" fontId="17" fillId="7" borderId="15" xfId="0" applyNumberFormat="1" applyFont="1" applyFill="1" applyBorder="1" applyAlignment="1">
      <x:alignment wrapText="1"/>
    </x:xf>
    <x:xf numFmtId="0" fontId="17" fillId="7" borderId="16" xfId="0" applyNumberFormat="1" applyFont="1" applyFill="1" applyBorder="1" applyAlignment="1">
      <x:alignment wrapText="1"/>
    </x:xf>
    <x:xf numFmtId="0" fontId="17" fillId="7" borderId="17" xfId="0" applyNumberFormat="1" applyFont="1" applyFill="1" applyBorder="1" applyAlignment="1">
      <x:alignment wrapText="1"/>
    </x:xf>
    <x:xf numFmtId="0" fontId="17" fillId="7" borderId="10" xfId="0" applyNumberFormat="1" applyFont="1" applyFill="1" applyBorder="1" applyAlignment="1">
      <x:alignment vertical="top" wrapText="1"/>
    </x:xf>
    <x:xf numFmtId="0" fontId="17" fillId="7" borderId="11" xfId="0" applyNumberFormat="1" applyFont="1" applyFill="1" applyBorder="1" applyAlignment="1">
      <x:alignment vertical="top" wrapText="1"/>
    </x:xf>
    <x:xf numFmtId="0" fontId="17" fillId="7" borderId="12" xfId="0" applyNumberFormat="1" applyFont="1" applyFill="1" applyBorder="1" applyAlignment="1">
      <x:alignment vertical="top" wrapText="1"/>
    </x:xf>
    <x:xf numFmtId="0" fontId="17" fillId="7" borderId="13" xfId="0" applyNumberFormat="1" applyFont="1" applyFill="1" applyBorder="1" applyAlignment="1">
      <x:alignment vertical="top" wrapText="1"/>
    </x:xf>
    <x:xf numFmtId="0" fontId="17" fillId="7" borderId="0" xfId="0" applyNumberFormat="1" applyFont="1" applyFill="1" applyBorder="1" applyAlignment="1">
      <x:alignment vertical="top" wrapText="1"/>
    </x:xf>
    <x:xf numFmtId="0" fontId="17" fillId="7" borderId="14" xfId="0" applyNumberFormat="1" applyFont="1" applyFill="1" applyBorder="1" applyAlignment="1">
      <x:alignment vertical="top" wrapText="1"/>
    </x:xf>
    <x:xf numFmtId="0" fontId="17" fillId="7" borderId="15" xfId="0" applyNumberFormat="1" applyFont="1" applyFill="1" applyBorder="1" applyAlignment="1">
      <x:alignment vertical="top" wrapText="1"/>
    </x:xf>
    <x:xf numFmtId="0" fontId="17" fillId="7" borderId="16" xfId="0" applyNumberFormat="1" applyFont="1" applyFill="1" applyBorder="1" applyAlignment="1">
      <x:alignment vertical="top" wrapText="1"/>
    </x:xf>
    <x:xf numFmtId="0" fontId="17" fillId="7" borderId="17" xfId="0" applyNumberFormat="1" applyFont="1" applyFill="1" applyBorder="1" applyAlignment="1">
      <x:alignment vertical="top" wrapText="1"/>
    </x:xf>
    <x:xf numFmtId="0" fontId="18" fillId="6" borderId="0" xfId="0" applyNumberFormat="1" applyFont="1" applyFill="1" applyBorder="1"/>
    <x:xf numFmtId="0" fontId="18" fillId="6" borderId="9" xfId="0" applyNumberFormat="1" applyFont="1" applyFill="1" applyBorder="1"/>
    <x:xf numFmtId="0" fontId="18" fillId="6" borderId="9" xfId="0" applyNumberFormat="1" applyFont="1" applyFill="1" applyBorder="1" applyAlignment="1">
      <x:alignment wrapText="1"/>
    </x:xf>
    <x:xf numFmtId="0" fontId="18" fillId="6" borderId="9" xfId="0" applyNumberFormat="1" applyFont="1" applyFill="1" applyBorder="1" applyAlignment="1">
      <x:alignment horizontal="center" wrapText="1"/>
    </x:xf>
    <x:xf numFmtId="0" fontId="18" fillId="6" borderId="9" xfId="0" applyNumberFormat="1" applyFont="1" applyFill="1" applyBorder="1" applyAlignment="1">
      <x:alignment horizontal="center" vertical="center" wrapText="1"/>
    </x:xf>
    <x:xf numFmtId="203" fontId="14" fillId="4" borderId="16" xfId="0" applyNumberFormat="1" applyFont="1" applyFill="1" applyBorder="1" applyAlignment="1">
      <x:alignment vertical="center"/>
    </x:xf>
    <x:xf numFmtId="203" fontId="14" fillId="4" borderId="18" xfId="0" applyNumberFormat="1" applyFont="1" applyFill="1" applyBorder="1" applyAlignment="1">
      <x:alignment vertical="center"/>
    </x:xf>
    <x:xf numFmtId="204" fontId="14" fillId="4" borderId="18" xfId="0" applyNumberFormat="1" applyFont="1" applyFill="1" applyBorder="1" applyAlignment="1">
      <x:alignment vertical="center"/>
    </x:xf>
    <x:xf numFmtId="203" fontId="15" fillId="4" borderId="16" xfId="0" applyNumberFormat="1" applyFont="1" applyFill="1" applyBorder="1" applyAlignment="1">
      <x:alignment vertical="center"/>
    </x:xf>
    <x:xf numFmtId="203" fontId="15" fillId="4" borderId="18" xfId="0" applyNumberFormat="1" applyFont="1" applyFill="1" applyBorder="1" applyAlignment="1">
      <x:alignment vertical="center"/>
    </x:xf>
    <x:xf numFmtId="204" fontId="15" fillId="4" borderId="18" xfId="0" applyNumberFormat="1" applyFont="1" applyFill="1" applyBorder="1" applyAlignment="1">
      <x:alignment vertical="center"/>
    </x:xf>
    <x:xf numFmtId="203" fontId="15" fillId="8" borderId="16" xfId="0" applyNumberFormat="1" applyFont="1" applyFill="1" applyBorder="1" applyAlignment="1">
      <x:alignment vertical="center"/>
    </x:xf>
    <x:xf numFmtId="0" fontId="14" fillId="4" borderId="16" xfId="0" applyNumberFormat="1" applyFont="1" applyFill="1" applyBorder="1" applyAlignment="1">
      <x:alignment vertical="center" wrapText="1"/>
    </x:xf>
    <x:xf numFmtId="0" fontId="14" fillId="4" borderId="18" xfId="0" applyNumberFormat="1" applyFont="1" applyFill="1" applyBorder="1" applyAlignment="1">
      <x:alignment vertical="center" wrapText="1"/>
    </x:xf>
    <x:xf numFmtId="200" fontId="14" fillId="4" borderId="16" xfId="0" applyNumberFormat="1" applyFont="1" applyFill="1" applyBorder="1" applyAlignment="1">
      <x:alignment vertical="center"/>
    </x:xf>
    <x:xf numFmtId="200" fontId="14" fillId="4" borderId="18" xfId="0" applyNumberFormat="1" applyFont="1" applyFill="1" applyBorder="1" applyAlignment="1">
      <x:alignment vertical="center"/>
    </x:xf>
    <x:xf numFmtId="200" fontId="16" fillId="4" borderId="16" xfId="0" applyNumberFormat="1" applyFont="1" applyFill="1" applyBorder="1" applyAlignment="1">
      <x:alignment vertical="center"/>
    </x:xf>
    <x:xf numFmtId="200" fontId="16" fillId="4" borderId="18" xfId="0" applyNumberFormat="1" applyFont="1" applyFill="1" applyBorder="1" applyAlignment="1">
      <x:alignment vertical="center"/>
    </x:xf>
    <x:xf numFmtId="0" fontId="18" fillId="6" borderId="19" xfId="0" applyNumberFormat="1" applyFont="1" applyFill="1" applyBorder="1"/>
    <x:xf numFmtId="0" fontId="18" fillId="6" borderId="20" xfId="0" applyNumberFormat="1" applyFont="1" applyFill="1" applyBorder="1"/>
    <x:xf numFmtId="0" fontId="18" fillId="6" borderId="21" xfId="0" applyNumberFormat="1" applyFont="1" applyFill="1" applyBorder="1"/>
    <x:xf numFmtId="200" fontId="18" fillId="6" borderId="19" xfId="0" applyNumberFormat="1" applyFont="1" applyFill="1" applyBorder="1"/>
    <x:xf numFmtId="200" fontId="18" fillId="6" borderId="20" xfId="0" applyNumberFormat="1" applyFont="1" applyFill="1" applyBorder="1"/>
    <x:xf numFmtId="200" fontId="18" fillId="6" borderId="21" xfId="0" applyNumberFormat="1" applyFont="1" applyFill="1" applyBorder="1"/>
    <x:xf numFmtId="205" fontId="14" fillId="4" borderId="16" xfId="0" applyNumberFormat="1" applyFont="1" applyFill="1" applyBorder="1" applyAlignment="1">
      <x:alignment vertical="center"/>
    </x:xf>
    <x:xf numFmtId="205" fontId="14" fillId="4" borderId="18" xfId="0" applyNumberFormat="1" applyFont="1" applyFill="1" applyBorder="1" applyAlignment="1">
      <x:alignment vertical="center"/>
    </x:xf>
    <x:xf numFmtId="205" fontId="16" fillId="4" borderId="16" xfId="0" applyNumberFormat="1" applyFont="1" applyFill="1" applyBorder="1" applyAlignment="1">
      <x:alignment vertical="center"/>
    </x:xf>
    <x:xf numFmtId="205" fontId="16" fillId="4" borderId="18" xfId="0" applyNumberFormat="1" applyFont="1" applyFill="1" applyBorder="1" applyAlignment="1">
      <x:alignment vertical="center"/>
    </x:xf>
    <x:xf numFmtId="206" fontId="18" fillId="6" borderId="9" xfId="0" applyNumberFormat="1" applyFont="1" applyFill="1" applyBorder="1" applyAlignment="1">
      <x:alignment horizontal="center" vertical="center" wrapText="1"/>
    </x:xf>
    <x:xf numFmtId="0" fontId="14" fillId="9" borderId="18" xfId="0" applyNumberFormat="1" applyFont="1" applyFill="1" applyBorder="1" applyAlignment="1">
      <x:alignment vertical="center"/>
    </x:xf>
    <x:xf numFmtId="200" fontId="14" fillId="9" borderId="18" xfId="0" applyNumberFormat="1" applyFont="1" applyFill="1" applyBorder="1" applyAlignment="1">
      <x:alignment vertical="center"/>
    </x:xf>
    <x:xf numFmtId="0" fontId="11" fillId="9" borderId="18" xfId="0" applyNumberFormat="1" applyFont="1" applyFill="1" applyBorder="1" applyAlignment="1">
      <x:alignment vertical="center"/>
    </x:xf>
    <x:xf numFmtId="200" fontId="11" fillId="9" borderId="18" xfId="0" applyNumberFormat="1" applyFont="1" applyFill="1" applyBorder="1" applyAlignment="1">
      <x:alignment vertical="center"/>
    </x:xf>
    <x:xf numFmtId="0" fontId="11" fillId="9" borderId="22" xfId="0" applyNumberFormat="1" applyFont="1" applyFill="1" applyBorder="1" applyAlignment="1">
      <x:alignment vertical="center"/>
    </x:xf>
    <x:xf numFmtId="200" fontId="11" fillId="9" borderId="22" xfId="0" applyNumberFormat="1" applyFont="1" applyFill="1" applyBorder="1" applyAlignment="1">
      <x:alignment vertical="center"/>
    </x:xf>
    <x:xf numFmtId="0" fontId="14" fillId="10" borderId="18" xfId="0" applyNumberFormat="1" applyFont="1" applyFill="1" applyBorder="1" applyAlignment="1">
      <x:alignment vertical="center"/>
    </x:xf>
    <x:xf numFmtId="200" fontId="14" fillId="10" borderId="18" xfId="0" applyNumberFormat="1" applyFont="1" applyFill="1" applyBorder="1" applyAlignment="1">
      <x:alignment vertical="center"/>
    </x:xf>
    <x:xf numFmtId="0" fontId="11" fillId="10" borderId="18" xfId="0" applyNumberFormat="1" applyFont="1" applyFill="1" applyBorder="1" applyAlignment="1">
      <x:alignment vertical="center"/>
    </x:xf>
    <x:xf numFmtId="200" fontId="11" fillId="10" borderId="18" xfId="0" applyNumberFormat="1" applyFont="1" applyFill="1" applyBorder="1" applyAlignment="1">
      <x:alignment vertical="center"/>
    </x:xf>
    <x:xf numFmtId="0" fontId="11" fillId="10" borderId="23" xfId="0" applyNumberFormat="1" applyFont="1" applyFill="1" applyBorder="1" applyAlignment="1">
      <x:alignment vertical="center"/>
    </x:xf>
    <x:xf numFmtId="200" fontId="11" fillId="10" borderId="23" xfId="0" applyNumberFormat="1" applyFont="1" applyFill="1" applyBorder="1" applyAlignment="1">
      <x:alignment vertical="center"/>
    </x:xf>
    <x:xf numFmtId="0" fontId="11" fillId="4" borderId="18" xfId="0" applyNumberFormat="1" applyFont="1" applyFill="1" applyBorder="1" applyAlignment="1">
      <x:alignment vertical="center"/>
    </x:xf>
    <x:xf numFmtId="200" fontId="11" fillId="4" borderId="18" xfId="0" applyNumberFormat="1" applyFont="1" applyFill="1" applyBorder="1" applyAlignment="1">
      <x:alignment vertical="center"/>
    </x:xf>
    <x:xf numFmtId="0" fontId="14" fillId="2" borderId="18" xfId="0" applyNumberFormat="1" applyFont="1" applyFill="1" applyBorder="1" applyAlignment="1">
      <x:alignment vertical="center"/>
    </x:xf>
    <x:xf numFmtId="200" fontId="14" fillId="2" borderId="18" xfId="0" applyNumberFormat="1" applyFont="1" applyFill="1" applyBorder="1" applyAlignment="1">
      <x:alignment vertical="center"/>
    </x:xf>
    <x:xf numFmtId="0" fontId="18" fillId="2" borderId="18" xfId="0" applyNumberFormat="1" applyFont="1" applyFill="1" applyBorder="1" applyAlignment="1">
      <x:alignment vertical="center"/>
    </x:xf>
    <x:xf numFmtId="200" fontId="18" fillId="2" borderId="18" xfId="0" applyNumberFormat="1" applyFont="1" applyFill="1" applyBorder="1" applyAlignment="1">
      <x:alignment vertical="center"/>
    </x:xf>
    <x:xf numFmtId="0" fontId="18" fillId="2" borderId="19" xfId="0" applyNumberFormat="1" applyFont="1" applyFill="1" applyBorder="1" applyAlignment="1">
      <x:alignment vertical="center"/>
    </x:xf>
    <x:xf numFmtId="200" fontId="18" fillId="2" borderId="20" xfId="0" applyNumberFormat="1" applyFont="1" applyFill="1" applyBorder="1" applyAlignment="1">
      <x:alignment vertical="center"/>
    </x:xf>
    <x:xf numFmtId="200" fontId="18" fillId="2" borderId="21" xfId="0" applyNumberFormat="1" applyFont="1" applyFill="1" applyBorder="1" applyAlignment="1">
      <x:alignment vertical="center"/>
    </x:xf>
    <x:xf numFmtId="200" fontId="18" fillId="2" borderId="19" xfId="0" applyNumberFormat="1" applyFont="1" applyFill="1" applyBorder="1" applyAlignment="1">
      <x:alignment vertical="center"/>
    </x:xf>
    <x:xf numFmtId="0" fontId="14" fillId="5" borderId="18" xfId="0" applyNumberFormat="1" applyFont="1" applyFill="1" applyBorder="1" applyAlignment="1">
      <x:alignment vertical="center"/>
    </x:xf>
    <x:xf numFmtId="200" fontId="14" fillId="5" borderId="18" xfId="0" applyNumberFormat="1" applyFont="1" applyFill="1" applyBorder="1" applyAlignment="1">
      <x:alignment vertical="center"/>
    </x:xf>
    <x:xf numFmtId="0" fontId="11" fillId="5" borderId="18" xfId="0" applyNumberFormat="1" applyFont="1" applyFill="1" applyBorder="1" applyAlignment="1">
      <x:alignment vertical="center"/>
    </x:xf>
    <x:xf numFmtId="200" fontId="11" fillId="5" borderId="18" xfId="0" applyNumberFormat="1" applyFont="1" applyFill="1" applyBorder="1" applyAlignment="1">
      <x:alignment vertical="center"/>
    </x:xf>
    <x:xf numFmtId="0" fontId="14" fillId="3" borderId="18" xfId="0" applyNumberFormat="1" applyFont="1" applyFill="1" applyBorder="1" applyAlignment="1">
      <x:alignment vertical="center"/>
    </x:xf>
    <x:xf numFmtId="200" fontId="14" fillId="3" borderId="18" xfId="0" applyNumberFormat="1" applyFont="1" applyFill="1" applyBorder="1" applyAlignment="1">
      <x:alignment vertical="center"/>
    </x:xf>
    <x:xf numFmtId="0" fontId="3" fillId="3" borderId="18" xfId="0" applyNumberFormat="1" applyFont="1" applyFill="1" applyBorder="1" applyAlignment="1">
      <x:alignment vertical="center"/>
    </x:xf>
    <x:xf numFmtId="200" fontId="3" fillId="3" borderId="18" xfId="0" applyNumberFormat="1" applyFont="1" applyFill="1" applyBorder="1" applyAlignment="1">
      <x:alignment vertical="center"/>
    </x:xf>
    <x:xf numFmtId="200" fontId="19" fillId="9" borderId="22" xfId="0" applyNumberFormat="1" applyFont="1" applyFill="1" applyBorder="1" applyAlignment="1">
      <x:alignment vertical="center"/>
    </x:xf>
    <x:xf numFmtId="200" fontId="19" fillId="10" borderId="23" xfId="0" applyNumberFormat="1" applyFont="1" applyFill="1" applyBorder="1" applyAlignment="1">
      <x:alignment vertical="center"/>
    </x:xf>
    <x:xf numFmtId="200" fontId="19" fillId="4" borderId="18" xfId="0" applyNumberFormat="1" applyFont="1" applyFill="1" applyBorder="1" applyAlignment="1">
      <x:alignment vertical="center"/>
    </x:xf>
    <x:xf numFmtId="200" fontId="19" fillId="2" borderId="20" xfId="0" applyNumberFormat="1" applyFont="1" applyFill="1" applyBorder="1" applyAlignment="1">
      <x:alignment vertical="center"/>
    </x:xf>
    <x:xf numFmtId="200" fontId="19" fillId="2" borderId="21" xfId="0" applyNumberFormat="1" applyFont="1" applyFill="1" applyBorder="1" applyAlignment="1">
      <x:alignment vertical="center"/>
    </x:xf>
    <x:xf numFmtId="200" fontId="19" fillId="5" borderId="18" xfId="0" applyNumberFormat="1" applyFont="1" applyFill="1" applyBorder="1" applyAlignment="1">
      <x:alignment vertical="center"/>
    </x:xf>
    <x:xf numFmtId="200" fontId="20" fillId="3" borderId="18" xfId="0" applyNumberFormat="1" applyFont="1" applyFill="1" applyBorder="1" applyAlignment="1">
      <x:alignment vertical="center"/>
    </x:xf>
    <x:xf numFmtId="201" fontId="14" fillId="4" borderId="18" xfId="0" applyNumberFormat="1" applyFont="1" applyFill="1" applyBorder="1" applyAlignment="1">
      <x:alignment vertical="center"/>
    </x:xf>
    <x:xf numFmtId="201" fontId="16" fillId="4" borderId="18" xfId="0" applyNumberFormat="1" applyFont="1" applyFill="1" applyBorder="1" applyAlignment="1">
      <x:alignment vertical="center"/>
    </x:xf>
    <x:xf numFmtId="201" fontId="16" fillId="2" borderId="18" xfId="0" applyNumberFormat="1" applyFont="1" applyFill="1" applyBorder="1" applyAlignment="1">
      <x:alignment vertical="center"/>
    </x:xf>
    <x:xf numFmtId="201" fontId="18" fillId="2" borderId="18" xfId="0" applyNumberFormat="1" applyFont="1" applyFill="1" applyBorder="1" applyAlignment="1">
      <x:alignment vertical="center"/>
    </x:xf>
    <x:xf numFmtId="201" fontId="18" fillId="2" borderId="20" xfId="0" applyNumberFormat="1" applyFont="1" applyFill="1" applyBorder="1" applyAlignment="1">
      <x:alignment vertical="center"/>
    </x:xf>
    <x:xf numFmtId="201" fontId="18" fillId="2" borderId="21" xfId="0" applyNumberFormat="1" applyFont="1" applyFill="1" applyBorder="1" applyAlignment="1">
      <x:alignment vertical="center"/>
    </x:xf>
    <x:xf numFmtId="201" fontId="18" fillId="2" borderId="19" xfId="0" applyNumberFormat="1" applyFont="1" applyFill="1" applyBorder="1" applyAlignment="1">
      <x:alignment vertical="center"/>
    </x:xf>
    <x:xf numFmtId="200" fontId="16" fillId="5" borderId="18" xfId="0" applyNumberFormat="1" applyFont="1" applyFill="1" applyBorder="1" applyAlignment="1">
      <x:alignment vertical="center"/>
    </x:xf>
    <x:xf numFmtId="0" fontId="21" fillId="5" borderId="0" xfId="0" applyNumberFormat="1" applyFont="1" applyFill="1" applyBorder="1"/>
    <x:xf numFmtId="0" fontId="21" fillId="5" borderId="0" xfId="0" applyNumberFormat="1" applyFont="1" applyFill="1" applyBorder="1" applyAlignment="1">
      <x:alignment horizontal="center"/>
    </x:xf>
    <x:xf numFmtId="0" fontId="1" fillId="4" borderId="1" xfId="0" applyNumberFormat="1" applyFont="1" applyFill="1" applyBorder="1" applyAlignment="1">
      <x:alignment vertical="center"/>
    </x:xf>
    <x:xf numFmtId="0" fontId="1" fillId="4" borderId="2" xfId="0" applyNumberFormat="1" applyFont="1" applyFill="1" applyBorder="1" applyAlignment="1">
      <x:alignment vertical="center"/>
    </x:xf>
    <x:xf numFmtId="0" fontId="1" fillId="4" borderId="3" xfId="0" applyNumberFormat="1" applyFont="1" applyFill="1" applyBorder="1" applyAlignment="1">
      <x:alignment vertical="center"/>
    </x:xf>
    <x:xf numFmtId="0" fontId="1" fillId="4" borderId="4" xfId="0" applyNumberFormat="1" applyFont="1" applyFill="1" applyBorder="1" applyAlignment="1">
      <x:alignment vertical="center"/>
    </x:xf>
    <x:xf numFmtId="0" fontId="1" fillId="4" borderId="0" xfId="0" applyNumberFormat="1" applyFont="1" applyFill="1" applyBorder="1" applyAlignment="1">
      <x:alignment vertical="center"/>
    </x:xf>
    <x:xf numFmtId="0" fontId="1" fillId="4" borderId="5" xfId="0" applyNumberFormat="1" applyFont="1" applyFill="1" applyBorder="1" applyAlignment="1">
      <x:alignment vertical="center"/>
    </x:xf>
    <x:xf numFmtId="0" fontId="1" fillId="4" borderId="6" xfId="0" applyNumberFormat="1" applyFont="1" applyFill="1" applyBorder="1" applyAlignment="1">
      <x:alignment vertical="center"/>
    </x:xf>
    <x:xf numFmtId="0" fontId="1" fillId="4" borderId="7" xfId="0" applyNumberFormat="1" applyFont="1" applyFill="1" applyBorder="1" applyAlignment="1">
      <x:alignment vertical="center"/>
    </x:xf>
    <x:xf numFmtId="0" fontId="1" fillId="4" borderId="8" xfId="0" applyNumberFormat="1" applyFont="1" applyFill="1" applyBorder="1" applyAlignment="1">
      <x:alignment vertical="center"/>
    </x:xf>
    <x:xf numFmtId="0" fontId="1" fillId="6" borderId="1" xfId="0" applyNumberFormat="1" applyFont="1" applyFill="1" applyBorder="1" applyAlignment="1">
      <x:alignment vertical="center"/>
    </x:xf>
    <x:xf numFmtId="0" fontId="1" fillId="6" borderId="2" xfId="0" applyNumberFormat="1" applyFont="1" applyFill="1" applyBorder="1" applyAlignment="1">
      <x:alignment vertical="center"/>
    </x:xf>
    <x:xf numFmtId="0" fontId="1" fillId="6" borderId="3" xfId="0" applyNumberFormat="1" applyFont="1" applyFill="1" applyBorder="1" applyAlignment="1">
      <x:alignment vertical="center"/>
    </x:xf>
    <x:xf numFmtId="0" fontId="22" fillId="6" borderId="1" xfId="0" applyNumberFormat="1" applyFont="1" applyFill="1" applyBorder="1" applyAlignment="1">
      <x:alignment vertical="center"/>
    </x:xf>
    <x:xf numFmtId="0" fontId="22" fillId="6" borderId="2" xfId="0" applyNumberFormat="1" applyFont="1" applyFill="1" applyBorder="1" applyAlignment="1">
      <x:alignment vertical="center"/>
    </x:xf>
    <x:xf numFmtId="0" fontId="22" fillId="6" borderId="3" xfId="0" applyNumberFormat="1" applyFont="1" applyFill="1" applyBorder="1" applyAlignment="1">
      <x:alignment vertical="center"/>
    </x:xf>
    <x:xf numFmtId="0" fontId="22" fillId="6" borderId="1" xfId="0" applyNumberFormat="1" applyFont="1" applyFill="1" applyBorder="1" applyAlignment="1">
      <x:alignment horizontal="center" vertical="center"/>
    </x:xf>
    <x:xf numFmtId="0" fontId="22" fillId="6" borderId="2" xfId="0" applyNumberFormat="1" applyFont="1" applyFill="1" applyBorder="1" applyAlignment="1">
      <x:alignment horizontal="center" vertical="center"/>
    </x:xf>
    <x:xf numFmtId="0" fontId="22" fillId="6" borderId="3" xfId="0" applyNumberFormat="1" applyFont="1" applyFill="1" applyBorder="1" applyAlignment="1">
      <x:alignment horizontal="center" vertical="center"/>
    </x:xf>
    <x:xf numFmtId="0" fontId="23" fillId="4" borderId="4" xfId="0" applyNumberFormat="1" applyFont="1" applyFill="1" applyBorder="1" applyAlignment="1">
      <x:alignment vertical="center"/>
    </x:xf>
    <x:xf numFmtId="0" fontId="23" fillId="4" borderId="0" xfId="0" applyNumberFormat="1" applyFont="1" applyFill="1" applyBorder="1" applyAlignment="1">
      <x:alignment vertical="center"/>
    </x:xf>
    <x:xf numFmtId="0" fontId="23" fillId="4" borderId="5" xfId="0" applyNumberFormat="1" applyFont="1" applyFill="1" applyBorder="1" applyAlignment="1">
      <x:alignment vertical="center"/>
    </x:xf>
    <x:xf numFmtId="0" fontId="23" fillId="4" borderId="6" xfId="0" applyNumberFormat="1" applyFont="1" applyFill="1" applyBorder="1" applyAlignment="1">
      <x:alignment vertical="center"/>
    </x:xf>
    <x:xf numFmtId="0" fontId="23" fillId="4" borderId="7" xfId="0" applyNumberFormat="1" applyFont="1" applyFill="1" applyBorder="1" applyAlignment="1">
      <x:alignment vertical="center"/>
    </x:xf>
    <x:xf numFmtId="0" fontId="23" fillId="4" borderId="8" xfId="0" applyNumberFormat="1" applyFont="1" applyFill="1" applyBorder="1" applyAlignment="1">
      <x:alignment vertical="center"/>
    </x:xf>
    <x:xf numFmtId="200" fontId="23" fillId="4" borderId="4" xfId="0" applyNumberFormat="1" applyFont="1" applyFill="1" applyBorder="1" applyAlignment="1">
      <x:alignment vertical="center"/>
    </x:xf>
    <x:xf numFmtId="200" fontId="23" fillId="4" borderId="0" xfId="0" applyNumberFormat="1" applyFont="1" applyFill="1" applyBorder="1" applyAlignment="1">
      <x:alignment vertical="center"/>
    </x:xf>
    <x:xf numFmtId="200" fontId="23" fillId="4" borderId="5" xfId="0" applyNumberFormat="1" applyFont="1" applyFill="1" applyBorder="1" applyAlignment="1">
      <x:alignment vertical="center"/>
    </x:xf>
    <x:xf numFmtId="200" fontId="23" fillId="4" borderId="6" xfId="0" applyNumberFormat="1" applyFont="1" applyFill="1" applyBorder="1" applyAlignment="1">
      <x:alignment vertical="center"/>
    </x:xf>
    <x:xf numFmtId="200" fontId="23" fillId="4" borderId="7" xfId="0" applyNumberFormat="1" applyFont="1" applyFill="1" applyBorder="1" applyAlignment="1">
      <x:alignment vertical="center"/>
    </x:xf>
    <x:xf numFmtId="200" fontId="23" fillId="4" borderId="8" xfId="0" applyNumberFormat="1" applyFont="1" applyFill="1" applyBorder="1" applyAlignment="1">
      <x:alignment vertical="center"/>
    </x:xf>
    <x:xf numFmtId="200" fontId="23" fillId="4" borderId="4" xfId="0" applyNumberFormat="1" applyFont="1" applyFill="1" applyBorder="1" applyAlignment="1">
      <x:alignment horizontal="center" vertical="center"/>
    </x:xf>
    <x:xf numFmtId="200" fontId="23" fillId="4" borderId="0" xfId="0" applyNumberFormat="1" applyFont="1" applyFill="1" applyBorder="1" applyAlignment="1">
      <x:alignment horizontal="center" vertical="center"/>
    </x:xf>
    <x:xf numFmtId="200" fontId="23" fillId="4" borderId="5" xfId="0" applyNumberFormat="1" applyFont="1" applyFill="1" applyBorder="1" applyAlignment="1">
      <x:alignment horizontal="center" vertical="center"/>
    </x:xf>
    <x:xf numFmtId="200" fontId="23" fillId="4" borderId="6" xfId="0" applyNumberFormat="1" applyFont="1" applyFill="1" applyBorder="1" applyAlignment="1">
      <x:alignment horizontal="center" vertical="center"/>
    </x:xf>
    <x:xf numFmtId="200" fontId="23" fillId="4" borderId="7" xfId="0" applyNumberFormat="1" applyFont="1" applyFill="1" applyBorder="1" applyAlignment="1">
      <x:alignment horizontal="center" vertical="center"/>
    </x:xf>
    <x:xf numFmtId="200" fontId="23" fillId="4" borderId="8" xfId="0" applyNumberFormat="1" applyFont="1" applyFill="1" applyBorder="1" applyAlignment="1">
      <x:alignment horizontal="center" vertical="center"/>
    </x:xf>
    <x:xf numFmtId="0" fontId="24" fillId="4" borderId="4" xfId="0" applyNumberFormat="1" applyFont="1" applyFill="1" applyBorder="1" applyAlignment="1">
      <x:alignment vertical="center"/>
    </x:xf>
    <x:xf numFmtId="0" fontId="24" fillId="4" borderId="0" xfId="0" applyNumberFormat="1" applyFont="1" applyFill="1" applyBorder="1" applyAlignment="1">
      <x:alignment vertical="center"/>
    </x:xf>
    <x:xf numFmtId="0" fontId="24" fillId="4" borderId="5" xfId="0" applyNumberFormat="1" applyFont="1" applyFill="1" applyBorder="1" applyAlignment="1">
      <x:alignment vertical="center"/>
    </x:xf>
    <x:xf numFmtId="0" fontId="24" fillId="4" borderId="6" xfId="0" applyNumberFormat="1" applyFont="1" applyFill="1" applyBorder="1" applyAlignment="1">
      <x:alignment vertical="center"/>
    </x:xf>
    <x:xf numFmtId="0" fontId="24" fillId="4" borderId="7" xfId="0" applyNumberFormat="1" applyFont="1" applyFill="1" applyBorder="1" applyAlignment="1">
      <x:alignment vertical="center"/>
    </x:xf>
    <x:xf numFmtId="0" fontId="24" fillId="4" borderId="8" xfId="0" applyNumberFormat="1" applyFont="1" applyFill="1" applyBorder="1" applyAlignment="1">
      <x:alignment vertical="center"/>
    </x:xf>
    <x:xf numFmtId="200" fontId="24" fillId="4" borderId="4" xfId="0" applyNumberFormat="1" applyFont="1" applyFill="1" applyBorder="1" applyAlignment="1">
      <x:alignment vertical="center"/>
    </x:xf>
    <x:xf numFmtId="200" fontId="24" fillId="4" borderId="0" xfId="0" applyNumberFormat="1" applyFont="1" applyFill="1" applyBorder="1" applyAlignment="1">
      <x:alignment vertical="center"/>
    </x:xf>
    <x:xf numFmtId="200" fontId="24" fillId="4" borderId="5" xfId="0" applyNumberFormat="1" applyFont="1" applyFill="1" applyBorder="1" applyAlignment="1">
      <x:alignment vertical="center"/>
    </x:xf>
    <x:xf numFmtId="200" fontId="24" fillId="4" borderId="6" xfId="0" applyNumberFormat="1" applyFont="1" applyFill="1" applyBorder="1" applyAlignment="1">
      <x:alignment vertical="center"/>
    </x:xf>
    <x:xf numFmtId="200" fontId="24" fillId="4" borderId="7" xfId="0" applyNumberFormat="1" applyFont="1" applyFill="1" applyBorder="1" applyAlignment="1">
      <x:alignment vertical="center"/>
    </x:xf>
    <x:xf numFmtId="200" fontId="24" fillId="4" borderId="8" xfId="0" applyNumberFormat="1" applyFont="1" applyFill="1" applyBorder="1" applyAlignment="1">
      <x:alignment vertical="center"/>
    </x:xf>
    <x:xf numFmtId="200" fontId="24" fillId="4" borderId="4" xfId="0" applyNumberFormat="1" applyFont="1" applyFill="1" applyBorder="1" applyAlignment="1">
      <x:alignment horizontal="center" vertical="center"/>
    </x:xf>
    <x:xf numFmtId="200" fontId="24" fillId="4" borderId="0" xfId="0" applyNumberFormat="1" applyFont="1" applyFill="1" applyBorder="1" applyAlignment="1">
      <x:alignment horizontal="center" vertical="center"/>
    </x:xf>
    <x:xf numFmtId="200" fontId="24" fillId="4" borderId="5" xfId="0" applyNumberFormat="1" applyFont="1" applyFill="1" applyBorder="1" applyAlignment="1">
      <x:alignment horizontal="center" vertical="center"/>
    </x:xf>
    <x:xf numFmtId="200" fontId="24" fillId="4" borderId="6" xfId="0" applyNumberFormat="1" applyFont="1" applyFill="1" applyBorder="1" applyAlignment="1">
      <x:alignment horizontal="center" vertical="center"/>
    </x:xf>
    <x:xf numFmtId="200" fontId="24" fillId="4" borderId="7" xfId="0" applyNumberFormat="1" applyFont="1" applyFill="1" applyBorder="1" applyAlignment="1">
      <x:alignment horizontal="center" vertical="center"/>
    </x:xf>
    <x:xf numFmtId="200" fontId="24" fillId="4" borderId="8" xfId="0" applyNumberFormat="1" applyFont="1" applyFill="1" applyBorder="1" applyAlignment="1">
      <x:alignment horizontal="center" vertical="center"/>
    </x:xf>
    <x:xf numFmtId="0" fontId="25" fillId="4" borderId="4" xfId="0" applyNumberFormat="1" applyFont="1" applyFill="1" applyBorder="1" applyAlignment="1">
      <x:alignment vertical="center"/>
    </x:xf>
    <x:xf numFmtId="0" fontId="25" fillId="4" borderId="0" xfId="0" applyNumberFormat="1" applyFont="1" applyFill="1" applyBorder="1" applyAlignment="1">
      <x:alignment vertical="center"/>
    </x:xf>
    <x:xf numFmtId="0" fontId="25" fillId="4" borderId="5" xfId="0" applyNumberFormat="1" applyFont="1" applyFill="1" applyBorder="1" applyAlignment="1">
      <x:alignment vertical="center"/>
    </x:xf>
    <x:xf numFmtId="0" fontId="25" fillId="4" borderId="6" xfId="0" applyNumberFormat="1" applyFont="1" applyFill="1" applyBorder="1" applyAlignment="1">
      <x:alignment vertical="center"/>
    </x:xf>
    <x:xf numFmtId="0" fontId="25" fillId="4" borderId="7" xfId="0" applyNumberFormat="1" applyFont="1" applyFill="1" applyBorder="1" applyAlignment="1">
      <x:alignment vertical="center"/>
    </x:xf>
    <x:xf numFmtId="0" fontId="25" fillId="4" borderId="8" xfId="0" applyNumberFormat="1" applyFont="1" applyFill="1" applyBorder="1" applyAlignment="1">
      <x:alignment vertical="center"/>
    </x:xf>
    <x:xf numFmtId="201" fontId="25" fillId="4" borderId="4" xfId="0" applyNumberFormat="1" applyFont="1" applyFill="1" applyBorder="1" applyAlignment="1">
      <x:alignment vertical="center"/>
    </x:xf>
    <x:xf numFmtId="201" fontId="25" fillId="4" borderId="0" xfId="0" applyNumberFormat="1" applyFont="1" applyFill="1" applyBorder="1" applyAlignment="1">
      <x:alignment vertical="center"/>
    </x:xf>
    <x:xf numFmtId="201" fontId="25" fillId="4" borderId="5" xfId="0" applyNumberFormat="1" applyFont="1" applyFill="1" applyBorder="1" applyAlignment="1">
      <x:alignment vertical="center"/>
    </x:xf>
    <x:xf numFmtId="201" fontId="25" fillId="4" borderId="6" xfId="0" applyNumberFormat="1" applyFont="1" applyFill="1" applyBorder="1" applyAlignment="1">
      <x:alignment vertical="center"/>
    </x:xf>
    <x:xf numFmtId="201" fontId="25" fillId="4" borderId="7" xfId="0" applyNumberFormat="1" applyFont="1" applyFill="1" applyBorder="1" applyAlignment="1">
      <x:alignment vertical="center"/>
    </x:xf>
    <x:xf numFmtId="201" fontId="25" fillId="4" borderId="8" xfId="0" applyNumberFormat="1" applyFont="1" applyFill="1" applyBorder="1" applyAlignment="1">
      <x:alignment vertical="center"/>
    </x:xf>
    <x:xf numFmtId="201" fontId="25" fillId="4" borderId="4" xfId="0" applyNumberFormat="1" applyFont="1" applyFill="1" applyBorder="1" applyAlignment="1">
      <x:alignment horizontal="center" vertical="center"/>
    </x:xf>
    <x:xf numFmtId="201" fontId="25" fillId="4" borderId="0" xfId="0" applyNumberFormat="1" applyFont="1" applyFill="1" applyBorder="1" applyAlignment="1">
      <x:alignment horizontal="center" vertical="center"/>
    </x:xf>
    <x:xf numFmtId="201" fontId="25" fillId="4" borderId="5" xfId="0" applyNumberFormat="1" applyFont="1" applyFill="1" applyBorder="1" applyAlignment="1">
      <x:alignment horizontal="center" vertical="center"/>
    </x:xf>
    <x:xf numFmtId="201" fontId="25" fillId="4" borderId="6" xfId="0" applyNumberFormat="1" applyFont="1" applyFill="1" applyBorder="1" applyAlignment="1">
      <x:alignment horizontal="center" vertical="center"/>
    </x:xf>
    <x:xf numFmtId="201" fontId="25" fillId="4" borderId="7" xfId="0" applyNumberFormat="1" applyFont="1" applyFill="1" applyBorder="1" applyAlignment="1">
      <x:alignment horizontal="center" vertical="center"/>
    </x:xf>
    <x:xf numFmtId="201" fontId="25" fillId="4" borderId="8" xfId="0" applyNumberFormat="1" applyFont="1" applyFill="1" applyBorder="1" applyAlignment="1">
      <x:alignment horizontal="center" vertical="center"/>
    </x:xf>
    <x:xf numFmtId="0" fontId="9" fillId="4" borderId="4" xfId="0" applyNumberFormat="1" applyFont="1" applyFill="1" applyBorder="1" applyAlignment="1">
      <x:alignment vertical="center"/>
    </x:xf>
    <x:xf numFmtId="0" fontId="9" fillId="4" borderId="5" xfId="0" applyNumberFormat="1" applyFont="1" applyFill="1" applyBorder="1" applyAlignment="1">
      <x:alignment vertical="center"/>
    </x:xf>
    <x:xf numFmtId="0" fontId="9" fillId="4" borderId="6" xfId="0" applyNumberFormat="1" applyFont="1" applyFill="1" applyBorder="1" applyAlignment="1">
      <x:alignment vertical="center"/>
    </x:xf>
    <x:xf numFmtId="0" fontId="9" fillId="4" borderId="8" xfId="0" applyNumberFormat="1" applyFont="1" applyFill="1" applyBorder="1" applyAlignment="1">
      <x:alignment vertical="center"/>
    </x:xf>
    <x:xf numFmtId="207" fontId="9" fillId="4" borderId="4" xfId="0" applyNumberFormat="1" applyFont="1" applyFill="1" applyBorder="1" applyAlignment="1">
      <x:alignment vertical="center"/>
    </x:xf>
    <x:xf numFmtId="207" fontId="9" fillId="4" borderId="5" xfId="0" applyNumberFormat="1" applyFont="1" applyFill="1" applyBorder="1" applyAlignment="1">
      <x:alignment vertical="center"/>
    </x:xf>
    <x:xf numFmtId="207" fontId="9" fillId="4" borderId="6" xfId="0" applyNumberFormat="1" applyFont="1" applyFill="1" applyBorder="1" applyAlignment="1">
      <x:alignment vertical="center"/>
    </x:xf>
    <x:xf numFmtId="207" fontId="9" fillId="4" borderId="8" xfId="0" applyNumberFormat="1" applyFont="1" applyFill="1" applyBorder="1" applyAlignment="1">
      <x:alignment vertical="center"/>
    </x:xf>
    <x:xf numFmtId="207" fontId="9" fillId="4" borderId="4" xfId="0" applyNumberFormat="1" applyFont="1" applyFill="1" applyBorder="1" applyAlignment="1">
      <x:alignment horizontal="center" vertical="center"/>
    </x:xf>
    <x:xf numFmtId="207" fontId="9" fillId="4" borderId="5" xfId="0" applyNumberFormat="1" applyFont="1" applyFill="1" applyBorder="1" applyAlignment="1">
      <x:alignment horizontal="center" vertical="center"/>
    </x:xf>
    <x:xf numFmtId="207" fontId="9" fillId="4" borderId="6" xfId="0" applyNumberFormat="1" applyFont="1" applyFill="1" applyBorder="1" applyAlignment="1">
      <x:alignment horizontal="center" vertical="center"/>
    </x:xf>
    <x:xf numFmtId="207" fontId="9" fillId="4" borderId="8" xfId="0" applyNumberFormat="1" applyFont="1" applyFill="1" applyBorder="1" applyAlignment="1">
      <x:alignment horizontal="center" vertical="center"/>
    </x:xf>
    <x:xf numFmtId="0" fontId="26" fillId="2" borderId="0" xfId="0" applyNumberFormat="1" applyFont="1" applyFill="1" applyBorder="1"/>
    <x:xf numFmtId="0" fontId="26" fillId="2" borderId="1" xfId="0" applyNumberFormat="1" applyFont="1" applyFill="1" applyBorder="1"/>
    <x:xf numFmtId="0" fontId="26" fillId="2" borderId="2" xfId="0" applyNumberFormat="1" applyFont="1" applyFill="1" applyBorder="1"/>
    <x:xf numFmtId="0" fontId="26" fillId="2" borderId="3" xfId="0" applyNumberFormat="1" applyFont="1" applyFill="1" applyBorder="1"/>
    <x:xf numFmtId="0" fontId="26" fillId="2" borderId="4" xfId="0" applyNumberFormat="1" applyFont="1" applyFill="1" applyBorder="1"/>
    <x:xf numFmtId="0" fontId="26" fillId="2" borderId="5" xfId="0" applyNumberFormat="1" applyFont="1" applyFill="1" applyBorder="1"/>
    <x:xf numFmtId="0" fontId="26" fillId="2" borderId="6" xfId="0" applyNumberFormat="1" applyFont="1" applyFill="1" applyBorder="1"/>
    <x:xf numFmtId="0" fontId="26" fillId="2" borderId="7" xfId="0" applyNumberFormat="1" applyFont="1" applyFill="1" applyBorder="1"/>
    <x:xf numFmtId="0" fontId="26" fillId="2" borderId="8" xfId="0" applyNumberFormat="1" applyFont="1" applyFill="1" applyBorder="1"/>
    <x:xf numFmtId="0" fontId="26" fillId="2" borderId="1" xfId="0" applyNumberFormat="1" applyFont="1" applyFill="1" applyBorder="1" applyAlignment="1">
      <x:alignment wrapText="1"/>
    </x:xf>
    <x:xf numFmtId="0" fontId="26" fillId="2" borderId="2" xfId="0" applyNumberFormat="1" applyFont="1" applyFill="1" applyBorder="1" applyAlignment="1">
      <x:alignment wrapText="1"/>
    </x:xf>
    <x:xf numFmtId="0" fontId="26" fillId="2" borderId="3" xfId="0" applyNumberFormat="1" applyFont="1" applyFill="1" applyBorder="1" applyAlignment="1">
      <x:alignment wrapText="1"/>
    </x:xf>
    <x:xf numFmtId="0" fontId="26" fillId="2" borderId="4" xfId="0" applyNumberFormat="1" applyFont="1" applyFill="1" applyBorder="1" applyAlignment="1">
      <x:alignment wrapText="1"/>
    </x:xf>
    <x:xf numFmtId="0" fontId="26" fillId="2" borderId="0" xfId="0" applyNumberFormat="1" applyFont="1" applyFill="1" applyBorder="1" applyAlignment="1">
      <x:alignment wrapText="1"/>
    </x:xf>
    <x:xf numFmtId="0" fontId="26" fillId="2" borderId="5" xfId="0" applyNumberFormat="1" applyFont="1" applyFill="1" applyBorder="1" applyAlignment="1">
      <x:alignment wrapText="1"/>
    </x:xf>
    <x:xf numFmtId="0" fontId="26" fillId="2" borderId="6" xfId="0" applyNumberFormat="1" applyFont="1" applyFill="1" applyBorder="1" applyAlignment="1">
      <x:alignment wrapText="1"/>
    </x:xf>
    <x:xf numFmtId="0" fontId="26" fillId="2" borderId="7" xfId="0" applyNumberFormat="1" applyFont="1" applyFill="1" applyBorder="1" applyAlignment="1">
      <x:alignment wrapText="1"/>
    </x:xf>
    <x:xf numFmtId="0" fontId="26" fillId="2" borderId="8" xfId="0" applyNumberFormat="1" applyFont="1" applyFill="1" applyBorder="1" applyAlignment="1">
      <x:alignment wrapText="1"/>
    </x:xf>
    <x:xf numFmtId="0" fontId="26" fillId="2" borderId="1" xfId="0" applyNumberFormat="1" applyFont="1" applyFill="1" applyBorder="1" applyAlignment="1">
      <x:alignment vertical="top" wrapText="1"/>
    </x:xf>
    <x:xf numFmtId="0" fontId="26" fillId="2" borderId="2" xfId="0" applyNumberFormat="1" applyFont="1" applyFill="1" applyBorder="1" applyAlignment="1">
      <x:alignment vertical="top" wrapText="1"/>
    </x:xf>
    <x:xf numFmtId="0" fontId="26" fillId="2" borderId="3" xfId="0" applyNumberFormat="1" applyFont="1" applyFill="1" applyBorder="1" applyAlignment="1">
      <x:alignment vertical="top" wrapText="1"/>
    </x:xf>
    <x:xf numFmtId="0" fontId="26" fillId="2" borderId="4" xfId="0" applyNumberFormat="1" applyFont="1" applyFill="1" applyBorder="1" applyAlignment="1">
      <x:alignment vertical="top" wrapText="1"/>
    </x:xf>
    <x:xf numFmtId="0" fontId="26" fillId="2" borderId="0" xfId="0" applyNumberFormat="1" applyFont="1" applyFill="1" applyBorder="1" applyAlignment="1">
      <x:alignment vertical="top" wrapText="1"/>
    </x:xf>
    <x:xf numFmtId="0" fontId="26" fillId="2" borderId="5" xfId="0" applyNumberFormat="1" applyFont="1" applyFill="1" applyBorder="1" applyAlignment="1">
      <x:alignment vertical="top" wrapText="1"/>
    </x:xf>
    <x:xf numFmtId="0" fontId="26" fillId="2" borderId="6" xfId="0" applyNumberFormat="1" applyFont="1" applyFill="1" applyBorder="1" applyAlignment="1">
      <x:alignment vertical="top" wrapText="1"/>
    </x:xf>
    <x:xf numFmtId="0" fontId="26" fillId="2" borderId="7" xfId="0" applyNumberFormat="1" applyFont="1" applyFill="1" applyBorder="1" applyAlignment="1">
      <x:alignment vertical="top" wrapText="1"/>
    </x:xf>
    <x:xf numFmtId="0" fontId="26" fillId="2" borderId="8" xfId="0" applyNumberFormat="1" applyFont="1" applyFill="1" applyBorder="1" applyAlignment="1">
      <x:alignment vertical="top" wrapText="1"/>
    </x:xf>
    <x:xf numFmtId="0" fontId="3" fillId="5" borderId="0" xfId="0" applyNumberFormat="1" applyFont="1" applyFill="1" applyBorder="1" applyAlignment="1">
      <x:alignment vertical="center"/>
    </x:xf>
    <x:xf numFmtId="0" fontId="27" fillId="5" borderId="0" xfId="0" applyNumberFormat="1" applyFont="1" applyFill="1" applyBorder="1" applyAlignment="1">
      <x:alignment vertical="center"/>
    </x:xf>
    <x:xf numFmtId="0" fontId="27" fillId="5" borderId="19" xfId="0" applyNumberFormat="1" applyFont="1" applyFill="1" applyBorder="1" applyAlignment="1">
      <x:alignment vertical="center"/>
    </x:xf>
    <x:xf numFmtId="0" fontId="27" fillId="5" borderId="21" xfId="0" applyNumberFormat="1" applyFont="1" applyFill="1" applyBorder="1" applyAlignment="1">
      <x:alignment vertical="center"/>
    </x:xf>
    <x:xf numFmtId="0" fontId="28" fillId="4" borderId="16" xfId="0" applyNumberFormat="1" applyFont="1" applyFill="1" applyBorder="1" applyAlignment="1">
      <x:alignment vertical="center"/>
    </x:xf>
    <x:xf numFmtId="0" fontId="28" fillId="4" borderId="18" xfId="0" applyNumberFormat="1" applyFont="1" applyFill="1" applyBorder="1" applyAlignment="1">
      <x:alignment vertical="center"/>
    </x:xf>
    <x:xf numFmtId="200" fontId="14" fillId="4" borderId="18" xfId="0" applyNumberFormat="1" applyFont="1" applyFill="1" applyBorder="1" applyAlignment="1">
      <x:alignment vertical="center" wrapText="1"/>
    </x:xf>
  </x:cellXfs>
  <x:cellStyles count="1">
    <x:cellStyle name="Normal" xfId="0"/>
  </x:cellStyles>
  <x:dxfs count="2">
    <x:dxf>
      <x:font>
        <x:b/>
        <x:color rgb="FF14866D"/>
      </x:font>
      <x:fill>
        <x:patternFill>
          <x:bgColor rgb="FFE8F7F1"/>
        </x:patternFill>
      </x:fill>
    </x:dxf>
    <x:dxf>
      <x:font>
        <x:b/>
        <x:color rgb="FFFF6B4A"/>
      </x:font>
      <x:fill>
        <x:patternFill>
          <x:bgColor rgb="FFFFE7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5c59b9d17074442" /><Relationship Type="http://schemas.openxmlformats.org/officeDocument/2006/relationships/theme" Target="/xl/theme/theme1.xml" Id="Raad2c5ed3cd54ea4" /><Relationship Type="http://schemas.openxmlformats.org/officeDocument/2006/relationships/sharedStrings" Target="/xl/sharedStrings.xml" Id="R2579616e08324c13" /><Relationship Type="http://schemas.openxmlformats.org/officeDocument/2006/relationships/worksheet" Target="/xl/worksheets/sheet1.xml" Id="R2fa6fd2dc5b84891" /><Relationship Type="http://schemas.openxmlformats.org/officeDocument/2006/relationships/worksheet" Target="/xl/worksheets/sheet2.xml" Id="R241d8a89067b4d03" /><Relationship Type="http://schemas.openxmlformats.org/officeDocument/2006/relationships/worksheet" Target="/xl/worksheets/sheet3.xml" Id="R3cc2070a0e5a4ab7" /><Relationship Type="http://schemas.openxmlformats.org/officeDocument/2006/relationships/worksheet" Target="/xl/worksheets/sheet4.xml" Id="R6d33c81fb2344b86" /><Relationship Type="http://schemas.openxmlformats.org/officeDocument/2006/relationships/worksheet" Target="/xl/worksheets/sheet5.xml" Id="R79a0f00cc5aa4ef3" /><Relationship Type="http://schemas.openxmlformats.org/officeDocument/2006/relationships/worksheet" Target="/xl/worksheets/sheet6.xml" Id="Rf8b193afb36942ed" /><Relationship Type="http://schemas.openxmlformats.org/officeDocument/2006/relationships/worksheet" Target="/xl/worksheets/sheet7.xml" Id="R8ce36ca77bb04292" /><Relationship Type="http://schemas.openxmlformats.org/officeDocument/2006/relationships/worksheet" Target="/xl/worksheets/sheet8.xml" Id="R30e49349e72b43bc" /><Relationship Type="http://schemas.openxmlformats.org/officeDocument/2006/relationships/worksheet" Target="/xl/worksheets/sheet9.xml" Id="R99966edcdb6f4e1e" /><Relationship Type="http://schemas.openxmlformats.org/officeDocument/2006/relationships/worksheet" Target="/xl/worksheets/sheet10.xml" Id="R248ca215b4de4ace" /><Relationship Type="http://schemas.openxmlformats.org/officeDocument/2006/relationships/worksheet" Target="/xl/worksheets/sheet11.xml" Id="Rad76cc92128a48cd" /><Relationship Type="http://schemas.microsoft.com/office/2017/10/relationships/person" Target="/xl/persons/person.xml" Id="R16c59b46179545a9" /></Relationships>
</file>

<file path=xl/drawings/_rels/drawing1.xml.rels>&#65279;<?xml version="1.0" encoding="utf-8"?><Relationships xmlns="http://schemas.openxmlformats.org/package/2006/relationships"><Relationship Type="http://schemas.openxmlformats.org/officeDocument/2006/relationships/chart" Target="/xl/drawings/charts/chart1.xml" Id="Rf7f112aa35b644ca" /><Relationship Type="http://schemas.openxmlformats.org/officeDocument/2006/relationships/chart" Target="/xl/drawings/charts/chart2.xml" Id="Rc8d83cd4a265419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Ending cash versus operating guardrail ($)</a:t>
            </a:r>
          </a:p>
        </c:rich>
      </c:tx>
      <c:overlay val="0"/>
    </c:title>
    <c:plotArea>
      <c:lineChart>
        <c:grouping val="standard"/>
        <c:varyColors val="0"/>
        <c:ser>
          <c:idx val="0"/>
          <c:order val="0"/>
          <c:tx>
            <c:v>Ending cash</c:v>
          </c:tx>
          <c:spPr>
            <a:ln xmlns:a="http://schemas.openxmlformats.org/drawingml/2006/main" w="28575">
              <a:solidFill>
                <a:srgbClr val="FF6B4A"/>
              </a:solidFill>
            </a:ln>
          </c:spPr>
          <c:marker>
            <c:symbol val="none"/>
          </c:marker>
          <c:cat>
            <c:strRef>
              <c:f>'Dashboard'!$B$13:$N$13</c:f>
              <c:strCache>
                <c:ptCount val="0"/>
              </c:strCache>
            </c:strRef>
          </c:cat>
          <c:val>
            <c:numRef>
              <c:f>'Dashboard'!$B$14:$N$14</c:f>
              <c:numCache>
                <c:formatCode>$#,##0</c:formatCode>
                <c:ptCount val="0"/>
              </c:numCache>
            </c:numRef>
          </c:val>
          <c:smooth val="0"/>
        </c:ser>
        <c:ser>
          <c:idx val="1"/>
          <c:order val="1"/>
          <c:tx>
            <c:v>Cash guardrail</c:v>
          </c:tx>
          <c:spPr>
            <a:ln xmlns:a="http://schemas.openxmlformats.org/drawingml/2006/main" w="19050">
              <a:solidFill>
                <a:srgbClr val="111827"/>
              </a:solidFill>
            </a:ln>
          </c:spPr>
          <c:marker>
            <c:symbol val="none"/>
          </c:marker>
          <c:cat>
            <c:strRef>
              <c:f>'Dashboard'!$B$13:$N$13</c:f>
              <c:strCache>
                <c:ptCount val="0"/>
              </c:strCache>
            </c:strRef>
          </c:cat>
          <c:val>
            <c:numRef>
              <c:f>'Dashboard'!$B$15:$N$15</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Weekly inflows versus outflows ($)</a:t>
            </a:r>
          </a:p>
        </c:rich>
      </c:tx>
      <c:overlay val="0"/>
    </c:title>
    <c:plotArea>
      <c:barChart>
        <c:barDir val="col"/>
        <c:varyColors val="0"/>
        <c:ser>
          <c:idx val="0"/>
          <c:order val="0"/>
          <c:tx>
            <c:v>Inflows</c:v>
          </c:tx>
          <c:spPr>
            <a:solidFill xmlns:a="http://schemas.openxmlformats.org/drawingml/2006/main">
              <a:srgbClr val="14866D"/>
            </a:solidFill>
          </c:spPr>
          <c:cat>
            <c:strRef>
              <c:f>'Dashboard'!$B$36:$N$36</c:f>
              <c:strCache>
                <c:ptCount val="0"/>
              </c:strCache>
            </c:strRef>
          </c:cat>
          <c:val>
            <c:numRef>
              <c:f>'Dashboard'!$B$37:$N$37</c:f>
              <c:numCache>
                <c:formatCode>$#,##0</c:formatCode>
                <c:ptCount val="0"/>
              </c:numCache>
            </c:numRef>
          </c:val>
        </c:ser>
        <c:ser>
          <c:idx val="1"/>
          <c:order val="1"/>
          <c:tx>
            <c:v>Outflows</c:v>
          </c:tx>
          <c:spPr>
            <a:solidFill xmlns:a="http://schemas.openxmlformats.org/drawingml/2006/main">
              <a:srgbClr val="FF6B4A"/>
            </a:solidFill>
          </c:spPr>
          <c:cat>
            <c:strRef>
              <c:f>'Dashboard'!$B$36:$N$36</c:f>
              <c:strCache>
                <c:ptCount val="0"/>
              </c:strCache>
            </c:strRef>
          </c:cat>
          <c:val>
            <c:numRef>
              <c:f>'Dashboard'!$B$38:$N$38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17</xdr:row>
      <xdr:rowOff>0</xdr:rowOff>
    </xdr:from>
    <xdr:to>
      <xdr:col>8</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7f112aa35b644ca"/>
        </a:graphicData>
      </a:graphic>
    </xdr:graphicFrame>
    <xdr:clientData/>
  </xdr:twoCellAnchor>
  <xdr:twoCellAnchor>
    <xdr:from>
      <xdr:col>8</xdr:col>
      <xdr:colOff>0</xdr:colOff>
      <xdr:row>17</xdr:row>
      <xdr:rowOff>0</xdr:rowOff>
    </xdr:from>
    <xdr:to>
      <xdr:col>14</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8d83cd4a2654195"/>
        </a:graphicData>
      </a:graphic>
    </xdr:graphicFrame>
    <xdr:clientData/>
  </xdr:twoCellAnchor>
</xdr:wsDr>
</file>

<file path=xl/persons/person.xml><?xml version="1.0" encoding="utf-8"?>
<xltc:personList xmlns:xltc="http://schemas.microsoft.com/office/spreadsheetml/2018/threadedcomments">
  <xltc:person displayName="Nguyen Tuan Khoi" id="{49FEC693-BDA4-4C74-AC9E-8190BEAEB007}"/>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8" dT="2026-08-23T12:41:30.484" personId="{49FEC693-BDA4-4C74-AC9E-8190BEAEB007}" id="{28E0DCDD-FCA5-2858-F729-2533BB200DB7}">
    <xltc:text>Synthetic portfolio assumption | Owner: FP&amp;A | Date: 2026-08-23 | Update only with documented rationale.</xltc:text>
  </xltc:threadedComment>
  <xltc:threadedComment ref="B9" dT="2026-08-23T12:41:30.486" personId="{49FEC693-BDA4-4C74-AC9E-8190BEAEB007}" id="{21E79656-9B5A-A016-6985-C88799280409}">
    <xltc:text>Synthetic portfolio assumption | Owner: FP&amp;A | Date: 2026-08-23 | Update only with documented rationale.</xltc:text>
  </xltc:threadedComment>
  <xltc:threadedComment ref="B10" dT="2026-08-23T12:41:30.486" personId="{49FEC693-BDA4-4C74-AC9E-8190BEAEB007}" id="{01AABB50-06F7-0909-46A2-8FCF96CEBF18}">
    <xltc:text>Synthetic portfolio assumption | Owner: FP&amp;A | Date: 2026-08-23 | Update only with documented rationale.</xltc:text>
  </xltc:threadedComment>
  <xltc:threadedComment ref="B11" dT="2026-08-23T12:41:30.486" personId="{49FEC693-BDA4-4C74-AC9E-8190BEAEB007}" id="{E9CE74DD-DC25-AC5E-CA55-040C8AADB257}">
    <xltc:text>Synthetic portfolio assumption | Owner: FP&amp;A | Date: 2026-08-23 | Update only with documented rationale.</xltc:text>
  </xltc:threadedComment>
  <xltc:threadedComment ref="B12" dT="2026-08-23T12:41:30.486" personId="{49FEC693-BDA4-4C74-AC9E-8190BEAEB007}" id="{A52874EF-080A-A1ED-2D56-4533E5397885}">
    <xltc:text>Synthetic portfolio assumption | Owner: FP&amp;A | Date: 2026-08-23 | Update only with documented rationale.</xltc:text>
  </xltc:threadedComment>
  <xltc:threadedComment ref="B13" dT="2026-08-23T12:41:30.486" personId="{49FEC693-BDA4-4C74-AC9E-8190BEAEB007}" id="{E86A3186-5176-C75D-E2D7-B3F2F879C1F0}">
    <xltc:text>Synthetic portfolio assumption | Owner: FP&amp;A | Date: 2026-08-23 | Update only with documented rationale.</xltc:text>
  </xltc:threadedComment>
  <xltc:threadedComment ref="B14" dT="2026-08-23T12:41:30.486" personId="{49FEC693-BDA4-4C74-AC9E-8190BEAEB007}" id="{25D20034-D2DD-2891-3124-0472D0918520}">
    <xltc:text>Synthetic portfolio assumption | Owner: FP&amp;A | Date: 2026-08-23 | Update only with documented rationale.</xltc:text>
  </xltc:threadedComment>
  <xltc:threadedComment ref="B15" dT="2026-08-23T12:41:30.486" personId="{49FEC693-BDA4-4C74-AC9E-8190BEAEB007}" id="{30240519-ADF0-138E-0E9A-9A50A634AB22}">
    <xltc:text>Synthetic portfolio assumption | Owner: FP&amp;A | Date: 2026-08-23 | Update only with documented rationale.</xltc:text>
  </xltc:threadedComment>
  <xltc:threadedComment ref="B16" dT="2026-08-23T12:41:30.486" personId="{49FEC693-BDA4-4C74-AC9E-8190BEAEB007}" id="{67A7A165-D490-B67E-B04B-8624D7C1618F}">
    <xltc:text>Synthetic portfolio assumption | Owner: FP&amp;A | Date: 2026-08-23 | Update only with documented rationale.</xltc:text>
  </xltc:threadedComment>
  <xltc:threadedComment ref="B17" dT="2026-08-23T12:41:30.486" personId="{49FEC693-BDA4-4C74-AC9E-8190BEAEB007}" id="{1F750638-E307-2CC4-71CD-E61110705A92}">
    <xltc:text>Synthetic portfolio assumption | Owner: FP&amp;A | Date: 2026-08-23 | Update only with documented rationale.</xltc:text>
  </xltc:threadedComment>
  <xltc:threadedComment ref="B18" dT="2026-08-23T12:41:30.487" personId="{49FEC693-BDA4-4C74-AC9E-8190BEAEB007}" id="{AC6E5487-6034-303F-36F8-446C29953B4C}">
    <xltc:text>Synthetic portfolio assumption | Owner: FP&amp;A | Date: 2026-08-23 | Update only with documented rationale.</xltc:text>
  </xltc:threadedComment>
  <xltc:threadedComment ref="B19" dT="2026-08-23T12:41:30.487" personId="{49FEC693-BDA4-4C74-AC9E-8190BEAEB007}" id="{B4378765-273F-2C38-14EB-0B853FBFBFE5}">
    <xltc:text>Synthetic portfolio assumption | Owner: FP&amp;A | Date: 2026-08-23 | Update only with documented rationale.</xltc:text>
  </xltc:threadedComment>
  <xltc:threadedComment ref="B20" dT="2026-08-23T12:41:30.487" personId="{49FEC693-BDA4-4C74-AC9E-8190BEAEB007}" id="{1881E653-BD90-8E76-A00E-0E17508D0918}">
    <xltc:text>Synthetic portfolio assumption | Owner: FP&amp;A | Date: 2026-08-23 | Update only with documented rationale.</xltc:text>
  </xltc:threadedComment>
  <xltc:threadedComment ref="B21" dT="2026-08-23T12:41:30.487" personId="{49FEC693-BDA4-4C74-AC9E-8190BEAEB007}" id="{1D1A22B0-652D-1FDC-0DC4-815562F15D4A}">
    <xltc:text>Synthetic portfolio assumption | Owner: FP&amp;A | Date: 2026-08-23 | Update only with documented rationale.</xltc:text>
  </xltc:threadedComment>
  <xltc:threadedComment ref="B22" dT="2026-08-23T12:41:30.487" personId="{49FEC693-BDA4-4C74-AC9E-8190BEAEB007}" id="{CA94BC1E-7A43-E997-400C-81A6A46ED13D}">
    <xltc:text>Synthetic portfolio assumption | Owner: FP&amp;A | Date: 2026-08-23 | Update only with documented rationale.</xltc:text>
  </xltc:threadedComment>
  <xltc:threadedComment ref="B23" dT="2026-08-23T12:41:30.487" personId="{49FEC693-BDA4-4C74-AC9E-8190BEAEB007}" id="{11FED51F-B2E5-EBD4-3911-15F005C4C8E7}">
    <xltc:text>Synthetic portfolio assumption | Owner: FP&amp;A | Date: 2026-08-23 | Update only with documented rationale.</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62d62d0101df48ff" /><Relationship Type="http://schemas.openxmlformats.org/officeDocument/2006/relationships/vmlDrawing" Target="/xl/drawings/vmldrawing.vml" Id="R32ccdfd721f0435d" /><Relationship Type="http://schemas.microsoft.com/office/2017/10/relationships/threadedComment" Target="/xl/threadedcomments/threadedcomment.xml" Id="Ra403c6c65f664676" /></Relationships>
</file>

<file path=xl/worksheets/_rels/sheet9.xml.rels>&#65279;<?xml version="1.0" encoding="utf-8"?><Relationships xmlns="http://schemas.openxmlformats.org/package/2006/relationships"><Relationship Type="http://schemas.openxmlformats.org/officeDocument/2006/relationships/drawing" Target="/xl/drawings/drawing1.xml" Id="Re457e6d02c3b4b15"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25" customHeight="1">
      <x:c r="A1" s="4" t="str">
        <x:v>NORTHSTAR DISTRIBUTION</x:v>
      </x:c>
      <x:c r="B1" s="4"/>
      <x:c r="C1" s="4"/>
      <x:c r="D1" s="4"/>
      <x:c r="E1" s="4"/>
      <x:c r="F1" s="4"/>
      <x:c r="G1" s="4"/>
      <x:c r="H1" s="4"/>
      <x:c r="I1" s="4"/>
      <x:c r="J1" s="4"/>
      <x:c r="K1" s="4"/>
      <x:c r="L1" s="4"/>
      <x:c r="M1" s="4"/>
      <x:c r="N1" s="4"/>
      <x:c r="O1" s="1"/>
      <x:c r="P1" s="1"/>
      <x:c r="Q1" s="1"/>
      <x:c r="R1" s="1"/>
      <x:c r="S1" s="1"/>
      <x:c r="T1" s="1"/>
      <x:c r="U1" s="1"/>
      <x:c r="V1" s="1"/>
      <x:c r="W1" s="1"/>
      <x:c r="X1" s="1"/>
      <x:c r="Y1" s="1"/>
      <x:c r="Z1" s="1"/>
    </x:row>
    <x:row r="2" ht="25" customHeight="1">
      <x:c r="A2" s="4"/>
      <x:c r="B2" s="4"/>
      <x:c r="C2" s="4"/>
      <x:c r="D2" s="4"/>
      <x:c r="E2" s="4"/>
      <x:c r="F2" s="4"/>
      <x:c r="G2" s="4"/>
      <x:c r="H2" s="4"/>
      <x:c r="I2" s="4"/>
      <x:c r="J2" s="4"/>
      <x:c r="K2" s="4"/>
      <x:c r="L2" s="4"/>
      <x:c r="M2" s="4"/>
      <x:c r="N2" s="4"/>
      <x:c r="O2" s="1"/>
      <x:c r="P2" s="1"/>
      <x:c r="Q2" s="1"/>
      <x:c r="R2" s="1"/>
      <x:c r="S2" s="1"/>
      <x:c r="T2" s="1"/>
      <x:c r="U2" s="1"/>
      <x:c r="V2" s="1"/>
      <x:c r="W2" s="1"/>
      <x:c r="X2" s="1"/>
      <x:c r="Y2" s="1"/>
      <x:c r="Z2" s="1"/>
    </x:row>
    <x:row r="3" ht="25" customHeight="1">
      <x:c r="A3" s="7" t="str">
        <x:v>13-week cash flow &amp; working-capital decision model · Synthetic portfolio case</x:v>
      </x:c>
      <x:c r="B3" s="7"/>
      <x:c r="C3" s="7"/>
      <x:c r="D3" s="7"/>
      <x:c r="E3" s="7"/>
      <x:c r="F3" s="7"/>
      <x:c r="G3" s="7"/>
      <x:c r="H3" s="7"/>
      <x:c r="I3" s="7"/>
      <x:c r="J3" s="7"/>
      <x:c r="K3" s="7"/>
      <x:c r="L3" s="7"/>
      <x:c r="M3" s="7"/>
      <x:c r="N3" s="7"/>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ht="42" customHeight="1">
      <x:c r="A5" s="9" t="str">
        <x:v>Will liquidity remain above the operating guardrail—and which working-capital actions protect the next 13 weeks?</x:v>
      </x:c>
      <x:c r="B5" s="9"/>
      <x:c r="C5" s="9"/>
      <x:c r="D5" s="9"/>
      <x:c r="E5" s="9"/>
      <x:c r="F5" s="9"/>
      <x:c r="G5" s="9"/>
      <x:c r="H5" s="9"/>
      <x:c r="I5" s="9"/>
      <x:c r="J5" s="9"/>
      <x:c r="K5" s="9"/>
      <x:c r="L5" s="9"/>
      <x:c r="M5" s="9"/>
      <x:c r="N5" s="9"/>
      <x:c r="O5" s="1"/>
      <x:c r="P5" s="1"/>
      <x:c r="Q5" s="1"/>
      <x:c r="R5" s="1"/>
      <x:c r="S5" s="1"/>
      <x:c r="T5" s="1"/>
      <x:c r="U5" s="1"/>
      <x:c r="V5" s="1"/>
      <x:c r="W5" s="1"/>
      <x:c r="X5" s="1"/>
      <x:c r="Y5" s="1"/>
      <x:c r="Z5" s="1"/>
    </x:row>
    <x:row r="6">
      <x:c r="A6" s="1"/>
      <x:c r="B6" s="1"/>
      <x:c r="C6" s="1"/>
      <x:c r="D6" s="1"/>
      <x:c r="E6" s="1"/>
      <x:c r="F6" s="1"/>
      <x:c r="G6" s="1"/>
      <x:c r="H6" s="1"/>
      <x:c r="I6" s="1"/>
      <x:c r="J6" s="1"/>
      <x:c r="K6" s="1"/>
      <x:c r="L6" s="1"/>
      <x:c r="M6" s="1"/>
      <x:c r="N6" s="1"/>
      <x:c r="O6" s="1"/>
      <x:c r="P6" s="1"/>
      <x:c r="Q6" s="1"/>
      <x:c r="R6" s="1"/>
      <x:c r="S6" s="1"/>
      <x:c r="T6" s="1"/>
      <x:c r="U6" s="1"/>
      <x:c r="V6" s="1"/>
      <x:c r="W6" s="1"/>
      <x:c r="X6" s="1"/>
      <x:c r="Y6" s="1"/>
      <x:c r="Z6" s="1"/>
    </x:row>
    <x:row r="7">
      <x:c r="A7" s="1"/>
      <x:c r="B7" s="1"/>
      <x:c r="C7" s="1"/>
      <x:c r="D7" s="1"/>
      <x:c r="E7" s="1"/>
      <x:c r="F7" s="1"/>
      <x:c r="G7" s="1"/>
      <x:c r="H7" s="1"/>
      <x:c r="I7" s="1"/>
      <x:c r="J7" s="1"/>
      <x:c r="K7" s="1"/>
      <x:c r="L7" s="1"/>
      <x:c r="M7" s="1"/>
      <x:c r="N7" s="1"/>
      <x:c r="O7" s="1"/>
      <x:c r="P7" s="1"/>
      <x:c r="Q7" s="1"/>
      <x:c r="R7" s="1"/>
      <x:c r="S7" s="1"/>
      <x:c r="T7" s="1"/>
      <x:c r="U7" s="1"/>
      <x:c r="V7" s="1"/>
      <x:c r="W7" s="1"/>
      <x:c r="X7" s="1"/>
      <x:c r="Y7" s="1"/>
      <x:c r="Z7" s="1"/>
    </x:row>
    <x:row r="8">
      <x:c r="A8" s="11" t="str">
        <x:v>13W CLOSING CASH</x:v>
      </x:c>
      <x:c r="B8" s="12"/>
      <x:c r="C8" s="13"/>
      <x:c r="D8" s="1"/>
      <x:c r="E8" s="29" t="str">
        <x:v>FACILITY UTILIZED</x:v>
      </x:c>
      <x:c r="F8" s="30"/>
      <x:c r="G8" s="31"/>
      <x:c r="H8" s="1"/>
      <x:c r="I8" s="29" t="str">
        <x:v>PROJECTED CCC</x:v>
      </x:c>
      <x:c r="J8" s="30"/>
      <x:c r="K8" s="31"/>
      <x:c r="L8" s="1"/>
      <x:c r="M8" s="56" t="str">
        <x:v>MODEL STATUS</x:v>
      </x:c>
      <x:c r="N8" s="57"/>
      <x:c r="O8" s="1"/>
      <x:c r="P8" s="1"/>
      <x:c r="Q8" s="1"/>
      <x:c r="R8" s="1"/>
      <x:c r="S8" s="1"/>
      <x:c r="T8" s="1"/>
      <x:c r="U8" s="1"/>
      <x:c r="V8" s="1"/>
      <x:c r="W8" s="1"/>
      <x:c r="X8" s="1"/>
      <x:c r="Y8" s="1"/>
      <x:c r="Z8" s="1"/>
    </x:row>
    <x:row r="9">
      <x:c r="A9" s="25" t="n">
        <x:f>'13W_Cash_Flow'!N29</x:f>
        <x:v>-2533170</x:v>
      </x:c>
      <x:c r="B9" s="26"/>
      <x:c r="C9" s="27"/>
      <x:c r="D9" s="1"/>
      <x:c r="E9" s="43" t="n">
        <x:f>SUM('13W_Cash_Flow'!B28:N28)</x:f>
        <x:v>750000</x:v>
      </x:c>
      <x:c r="F9" s="44"/>
      <x:c r="G9" s="45"/>
      <x:c r="H9" s="1"/>
      <x:c r="I9" s="52" t="n">
        <x:f>'Working_Capital'!C14</x:f>
        <x:v>33.80281293508528</x:v>
      </x:c>
      <x:c r="J9" s="53"/>
      <x:c r="K9" s="54"/>
      <x:c r="L9" s="1"/>
      <x:c r="M9" s="66" t="str">
        <x:f>'Checks'!B3</x:f>
        <x:v>PASS</x:v>
      </x:c>
      <x:c r="N9" s="67"/>
      <x:c r="O9" s="1"/>
      <x:c r="P9" s="1"/>
      <x:c r="Q9" s="1"/>
      <x:c r="R9" s="1"/>
      <x:c r="S9" s="1"/>
      <x:c r="T9" s="1"/>
      <x:c r="U9" s="1"/>
      <x:c r="V9" s="1"/>
      <x:c r="W9" s="1"/>
      <x:c r="X9" s="1"/>
      <x:c r="Y9" s="1"/>
      <x:c r="Z9" s="1"/>
    </x:row>
    <x:row r="10">
      <x:c r="A10" s="25"/>
      <x:c r="B10" s="26"/>
      <x:c r="C10" s="27"/>
      <x:c r="D10" s="1"/>
      <x:c r="E10" s="43"/>
      <x:c r="F10" s="44"/>
      <x:c r="G10" s="45"/>
      <x:c r="H10" s="1"/>
      <x:c r="I10" s="52"/>
      <x:c r="J10" s="53"/>
      <x:c r="K10" s="54"/>
      <x:c r="L10" s="1"/>
      <x:c r="M10" s="66"/>
      <x:c r="N10" s="67"/>
      <x:c r="O10" s="1"/>
      <x:c r="P10" s="1"/>
      <x:c r="Q10" s="1"/>
      <x:c r="R10" s="1"/>
      <x:c r="S10" s="1"/>
      <x:c r="T10" s="1"/>
      <x:c r="U10" s="1"/>
      <x:c r="V10" s="1"/>
      <x:c r="W10" s="1"/>
      <x:c r="X10" s="1"/>
      <x:c r="Y10" s="1"/>
      <x:c r="Z10" s="1"/>
    </x:row>
    <x:row r="11">
      <x:c r="A11" s="16" t="str">
        <x:v>Selected scenario</x:v>
      </x:c>
      <x:c r="B11" s="17"/>
      <x:c r="C11" s="18"/>
      <x:c r="D11" s="1"/>
      <x:c r="E11" s="34" t="str">
        <x:v>Cumulative utilization</x:v>
      </x:c>
      <x:c r="F11" s="35"/>
      <x:c r="G11" s="36"/>
      <x:c r="H11" s="1"/>
      <x:c r="I11" s="34" t="str">
        <x:v>Cash conversion cycle</x:v>
      </x:c>
      <x:c r="J11" s="35"/>
      <x:c r="K11" s="36"/>
      <x:c r="L11" s="1"/>
      <x:c r="M11" s="60" t="str">
        <x:v>Controls only</x:v>
      </x:c>
      <x:c r="N11" s="61"/>
      <x:c r="O11" s="1"/>
      <x:c r="P11" s="1"/>
      <x:c r="Q11" s="1"/>
      <x:c r="R11" s="1"/>
      <x:c r="S11" s="1"/>
      <x:c r="T11" s="1"/>
      <x:c r="U11" s="1"/>
      <x:c r="V11" s="1"/>
      <x:c r="W11" s="1"/>
      <x:c r="X11" s="1"/>
      <x:c r="Y11" s="1"/>
      <x:c r="Z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70" t="str">
        <x:v>MODEL FLOW</x:v>
      </x:c>
      <x:c r="B14" s="70"/>
      <x:c r="C14" s="70"/>
      <x:c r="D14" s="70"/>
      <x:c r="E14" s="70"/>
      <x:c r="F14" s="70"/>
      <x:c r="G14" s="70"/>
      <x:c r="H14" s="70"/>
      <x:c r="I14" s="70"/>
      <x:c r="J14" s="70"/>
      <x:c r="K14" s="70"/>
      <x:c r="L14" s="70"/>
      <x:c r="M14" s="70"/>
      <x:c r="N14" s="70"/>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76" t="str">
        <x:v>Inputs</x:v>
      </x:c>
      <x:c r="B16" s="76" t="str">
        <x:v>→</x:v>
      </x:c>
      <x:c r="C16" s="76" t="str">
        <x:v>Receivables</x:v>
      </x:c>
      <x:c r="D16" s="76" t="str">
        <x:v>→</x:v>
      </x:c>
      <x:c r="E16" s="76" t="str">
        <x:v>Payables</x:v>
      </x:c>
      <x:c r="F16" s="76" t="str">
        <x:v>→</x:v>
      </x:c>
      <x:c r="G16" s="76" t="str">
        <x:v>Inventory</x:v>
      </x:c>
      <x:c r="H16" s="76" t="str">
        <x:v>→</x:v>
      </x:c>
      <x:c r="I16" s="76" t="str">
        <x:v>13-week cash</x:v>
      </x:c>
      <x:c r="J16" s="76" t="str">
        <x:v>→</x:v>
      </x:c>
      <x:c r="K16" s="76" t="str">
        <x:v>Working capital</x:v>
      </x:c>
      <x:c r="L16" s="76" t="str">
        <x:v>→</x:v>
      </x:c>
      <x:c r="M16" s="76" t="str">
        <x:v>Dashboard</x:v>
      </x:c>
      <x:c r="N16" s="76" t="str">
        <x:v>Checks</x:v>
      </x:c>
      <x:c r="O16" s="1"/>
      <x:c r="P16" s="1"/>
      <x:c r="Q16" s="1"/>
      <x:c r="R16" s="1"/>
      <x:c r="S16" s="1"/>
      <x:c r="T16" s="1"/>
      <x:c r="U16" s="1"/>
      <x:c r="V16" s="1"/>
      <x:c r="W16" s="1"/>
      <x:c r="X16" s="1"/>
      <x:c r="Y16" s="1"/>
      <x:c r="Z16" s="1"/>
    </x:row>
    <x:row r="17">
      <x:c r="A17" s="75" t="str">
        <x:v>Editable drivers</x:v>
      </x:c>
      <x:c r="B17" s="75" t="str"/>
      <x:c r="C17" s="75" t="str">
        <x:v>Collection timing</x:v>
      </x:c>
      <x:c r="D17" s="75" t="str"/>
      <x:c r="E17" s="75" t="str">
        <x:v>Payment timing</x:v>
      </x:c>
      <x:c r="F17" s="75" t="str"/>
      <x:c r="G17" s="75" t="str">
        <x:v>Purchase deferral</x:v>
      </x:c>
      <x:c r="H17" s="75" t="str"/>
      <x:c r="I17" s="75" t="str">
        <x:v>Weekly roll-forward</x:v>
      </x:c>
      <x:c r="J17" s="75" t="str"/>
      <x:c r="K17" s="75" t="str">
        <x:v>DSO / DPO / DIO</x:v>
      </x:c>
      <x:c r="L17" s="75" t="str"/>
      <x:c r="M17" s="75" t="str">
        <x:v>Action readout</x:v>
      </x:c>
      <x:c r="N17" s="75" t="str">
        <x:v>PASS / FAIL</x:v>
      </x:c>
      <x:c r="O17" s="1"/>
      <x:c r="P17" s="1"/>
      <x:c r="Q17" s="1"/>
      <x:c r="R17" s="1"/>
      <x:c r="S17" s="1"/>
      <x:c r="T17" s="1"/>
      <x:c r="U17" s="1"/>
      <x:c r="V17" s="1"/>
      <x:c r="W17" s="1"/>
      <x:c r="X17" s="1"/>
      <x:c r="Y17" s="1"/>
      <x:c r="Z17" s="1"/>
    </x:row>
    <x:row r="18">
      <x:c r="A18" s="75" t="str">
        <x:v>Blue cells</x:v>
      </x:c>
      <x:c r="B18" s="75" t="str"/>
      <x:c r="C18" s="75" t="str">
        <x:v>Customer detail</x:v>
      </x:c>
      <x:c r="D18" s="75" t="str"/>
      <x:c r="E18" s="75" t="str">
        <x:v>Vendor detail</x:v>
      </x:c>
      <x:c r="F18" s="75" t="str"/>
      <x:c r="G18" s="75" t="str">
        <x:v>Category detail</x:v>
      </x:c>
      <x:c r="H18" s="75" t="str"/>
      <x:c r="I18" s="75" t="str">
        <x:v>Facility logic</x:v>
      </x:c>
      <x:c r="J18" s="75" t="str"/>
      <x:c r="K18" s="75" t="str">
        <x:v>CCC bridge</x:v>
      </x:c>
      <x:c r="L18" s="75" t="str"/>
      <x:c r="M18" s="75" t="str">
        <x:v>Decision KPIs</x:v>
      </x:c>
      <x:c r="N18" s="75" t="str">
        <x:v>Audit gate</x:v>
      </x:c>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77" t="str">
        <x:v>HOW TO USE</x:v>
      </x:c>
      <x:c r="B21" s="77"/>
      <x:c r="C21" s="77"/>
      <x:c r="D21" s="77"/>
      <x:c r="E21" s="77"/>
      <x:c r="F21" s="77"/>
      <x:c r="G21" s="77"/>
      <x:c r="H21" s="77"/>
      <x:c r="I21" s="77"/>
      <x:c r="J21" s="77"/>
      <x:c r="K21" s="77"/>
      <x:c r="L21" s="77"/>
      <x:c r="M21" s="77"/>
      <x:c r="N21" s="77"/>
      <x:c r="O21" s="1"/>
      <x:c r="P21" s="1"/>
      <x:c r="Q21" s="1"/>
      <x:c r="R21" s="1"/>
      <x:c r="S21" s="1"/>
      <x:c r="T21" s="1"/>
      <x:c r="U21" s="1"/>
      <x:c r="V21" s="1"/>
      <x:c r="W21" s="1"/>
      <x:c r="X21" s="1"/>
      <x:c r="Y21" s="1"/>
      <x:c r="Z21" s="1"/>
    </x:row>
    <x:row r="22">
      <x:c r="A22" s="96" t="str">
        <x:v>1. Select Base, Downside, or Recovery on Assumptions.
2. Review customer collections, vendor payments, and inventory actions.
3. Read the 13-week cash roll-forward and Dashboard.
4. Distribute only when Checks shows PASS.
All company, customer, vendor, and transaction data are independently generated and portfolio-safe.</x:v>
      </x:c>
      <x:c r="B22" s="97"/>
      <x:c r="C22" s="97"/>
      <x:c r="D22" s="97"/>
      <x:c r="E22" s="97"/>
      <x:c r="F22" s="97"/>
      <x:c r="G22" s="97"/>
      <x:c r="H22" s="97"/>
      <x:c r="I22" s="97"/>
      <x:c r="J22" s="97"/>
      <x:c r="K22" s="97"/>
      <x:c r="L22" s="97"/>
      <x:c r="M22" s="97"/>
      <x:c r="N22" s="98"/>
      <x:c r="O22" s="1"/>
      <x:c r="P22" s="1"/>
      <x:c r="Q22" s="1"/>
      <x:c r="R22" s="1"/>
      <x:c r="S22" s="1"/>
      <x:c r="T22" s="1"/>
      <x:c r="U22" s="1"/>
      <x:c r="V22" s="1"/>
      <x:c r="W22" s="1"/>
      <x:c r="X22" s="1"/>
      <x:c r="Y22" s="1"/>
      <x:c r="Z22" s="1"/>
    </x:row>
    <x:row r="23">
      <x:c r="A23" s="99"/>
      <x:c r="B23" s="100"/>
      <x:c r="C23" s="100"/>
      <x:c r="D23" s="100"/>
      <x:c r="E23" s="100"/>
      <x:c r="F23" s="100"/>
      <x:c r="G23" s="100"/>
      <x:c r="H23" s="100"/>
      <x:c r="I23" s="100"/>
      <x:c r="J23" s="100"/>
      <x:c r="K23" s="100"/>
      <x:c r="L23" s="100"/>
      <x:c r="M23" s="100"/>
      <x:c r="N23" s="101"/>
      <x:c r="O23" s="1"/>
      <x:c r="P23" s="1"/>
      <x:c r="Q23" s="1"/>
      <x:c r="R23" s="1"/>
      <x:c r="S23" s="1"/>
      <x:c r="T23" s="1"/>
      <x:c r="U23" s="1"/>
      <x:c r="V23" s="1"/>
      <x:c r="W23" s="1"/>
      <x:c r="X23" s="1"/>
      <x:c r="Y23" s="1"/>
      <x:c r="Z23" s="1"/>
    </x:row>
    <x:row r="24">
      <x:c r="A24" s="99"/>
      <x:c r="B24" s="100"/>
      <x:c r="C24" s="100"/>
      <x:c r="D24" s="100"/>
      <x:c r="E24" s="100"/>
      <x:c r="F24" s="100"/>
      <x:c r="G24" s="100"/>
      <x:c r="H24" s="100"/>
      <x:c r="I24" s="100"/>
      <x:c r="J24" s="100"/>
      <x:c r="K24" s="100"/>
      <x:c r="L24" s="100"/>
      <x:c r="M24" s="100"/>
      <x:c r="N24" s="101"/>
      <x:c r="O24" s="1"/>
      <x:c r="P24" s="1"/>
      <x:c r="Q24" s="1"/>
      <x:c r="R24" s="1"/>
      <x:c r="S24" s="1"/>
      <x:c r="T24" s="1"/>
      <x:c r="U24" s="1"/>
      <x:c r="V24" s="1"/>
      <x:c r="W24" s="1"/>
      <x:c r="X24" s="1"/>
      <x:c r="Y24" s="1"/>
      <x:c r="Z24" s="1"/>
    </x:row>
    <x:row r="25">
      <x:c r="A25" s="99"/>
      <x:c r="B25" s="100"/>
      <x:c r="C25" s="100"/>
      <x:c r="D25" s="100"/>
      <x:c r="E25" s="100"/>
      <x:c r="F25" s="100"/>
      <x:c r="G25" s="100"/>
      <x:c r="H25" s="100"/>
      <x:c r="I25" s="100"/>
      <x:c r="J25" s="100"/>
      <x:c r="K25" s="100"/>
      <x:c r="L25" s="100"/>
      <x:c r="M25" s="100"/>
      <x:c r="N25" s="101"/>
      <x:c r="O25" s="1"/>
      <x:c r="P25" s="1"/>
      <x:c r="Q25" s="1"/>
      <x:c r="R25" s="1"/>
      <x:c r="S25" s="1"/>
      <x:c r="T25" s="1"/>
      <x:c r="U25" s="1"/>
      <x:c r="V25" s="1"/>
      <x:c r="W25" s="1"/>
      <x:c r="X25" s="1"/>
      <x:c r="Y25" s="1"/>
      <x:c r="Z25" s="1"/>
    </x:row>
    <x:row r="26">
      <x:c r="A26" s="102"/>
      <x:c r="B26" s="103"/>
      <x:c r="C26" s="103"/>
      <x:c r="D26" s="103"/>
      <x:c r="E26" s="103"/>
      <x:c r="F26" s="103"/>
      <x:c r="G26" s="103"/>
      <x:c r="H26" s="103"/>
      <x:c r="I26" s="103"/>
      <x:c r="J26" s="103"/>
      <x:c r="K26" s="103"/>
      <x:c r="L26" s="103"/>
      <x:c r="M26" s="103"/>
      <x:c r="N26" s="104"/>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sheetData>
  <x:mergeCells>
    <x:mergeCell ref="A1:N2"/>
    <x:mergeCell ref="A3:N3"/>
    <x:mergeCell ref="A5:N5"/>
    <x:mergeCell ref="A8:C8"/>
    <x:mergeCell ref="A9:C10"/>
    <x:mergeCell ref="A11:C11"/>
    <x:mergeCell ref="E8:G8"/>
    <x:mergeCell ref="E9:G10"/>
    <x:mergeCell ref="E11:G11"/>
    <x:mergeCell ref="I8:K8"/>
    <x:mergeCell ref="I9:K10"/>
    <x:mergeCell ref="I11:K11"/>
    <x:mergeCell ref="M8:N8"/>
    <x:mergeCell ref="M9:N10"/>
    <x:mergeCell ref="M11:N11"/>
    <x:mergeCell ref="A14:N14"/>
    <x:mergeCell ref="A21:N21"/>
    <x:mergeCell ref="A22:N2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3" hidden="0" customWidth="1"/>
    <x:col min="4" max="4" width="34" hidden="0" customWidth="1"/>
    <x:col min="5" max="5" width="18" hidden="0" customWidth="1"/>
    <x:col min="6" max="6" width="12" hidden="0" customWidth="1"/>
    <x:col min="7" max="7" width="12" hidden="0" customWidth="1"/>
  </x:cols>
  <x:sheetData>
    <x:row r="1" ht="25" customHeight="1">
      <x:c r="A1" s="4" t="str">
        <x:v>ASSUMPTIONS &amp; CONTROL PANEL</x:v>
      </x:c>
      <x:c r="B1" s="4"/>
      <x:c r="C1" s="4"/>
      <x:c r="D1" s="4"/>
      <x:c r="E1" s="4"/>
      <x:c r="F1" s="4"/>
      <x:c r="G1" s="4"/>
      <x:c r="H1" s="1"/>
      <x:c r="I1" s="1"/>
      <x:c r="J1" s="1"/>
      <x:c r="K1" s="1"/>
      <x:c r="L1" s="1"/>
      <x:c r="M1" s="1"/>
      <x:c r="N1" s="1"/>
      <x:c r="O1" s="1"/>
      <x:c r="P1" s="1"/>
      <x:c r="Q1" s="1"/>
      <x:c r="R1" s="1"/>
      <x:c r="S1" s="1"/>
      <x:c r="T1" s="1"/>
      <x:c r="U1" s="1"/>
      <x:c r="V1" s="1"/>
      <x:c r="W1" s="1"/>
      <x:c r="X1" s="1"/>
      <x:c r="Y1" s="1"/>
      <x:c r="Z1" s="1"/>
    </x:row>
    <x:row r="2" ht="25" customHeight="1">
      <x:c r="A2" s="4"/>
      <x:c r="B2" s="4"/>
      <x:c r="C2" s="4"/>
      <x:c r="D2" s="4"/>
      <x:c r="E2" s="4"/>
      <x:c r="F2" s="4"/>
      <x:c r="G2" s="4"/>
      <x:c r="H2" s="1"/>
      <x:c r="I2" s="1"/>
      <x:c r="J2" s="1"/>
      <x:c r="K2" s="1"/>
      <x:c r="L2" s="1"/>
      <x:c r="M2" s="1"/>
      <x:c r="N2" s="1"/>
      <x:c r="O2" s="1"/>
      <x:c r="P2" s="1"/>
      <x:c r="Q2" s="1"/>
      <x:c r="R2" s="1"/>
      <x:c r="S2" s="1"/>
      <x:c r="T2" s="1"/>
      <x:c r="U2" s="1"/>
      <x:c r="V2" s="1"/>
      <x:c r="W2" s="1"/>
      <x:c r="X2" s="1"/>
      <x:c r="Y2" s="1"/>
      <x:c r="Z2" s="1"/>
    </x:row>
    <x:row r="3" ht="25" customHeight="1">
      <x:c r="A3" s="7" t="str">
        <x:v>Blue text = editable input · Green text = cross-sheet formula · Currency in USD</x:v>
      </x:c>
      <x:c r="B3" s="7"/>
      <x:c r="C3" s="7"/>
      <x:c r="D3" s="7"/>
      <x:c r="E3" s="7"/>
      <x:c r="F3" s="7"/>
      <x:c r="G3" s="7"/>
      <x:c r="H3" s="1"/>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70" t="str">
        <x:v>MODEL CONVENTIONS</x:v>
      </x:c>
      <x:c r="B5" s="70"/>
      <x:c r="C5" s="70"/>
      <x:c r="D5" s="70" t="str">
        <x:v>SELECTED SCENARIO DRIVERS</x:v>
      </x:c>
      <x:c r="E5" s="70"/>
      <x:c r="F5" s="70"/>
      <x:c r="G5" s="70"/>
      <x:c r="H5" s="1"/>
      <x:c r="I5" s="1"/>
      <x:c r="J5" s="1"/>
      <x:c r="K5" s="1"/>
      <x:c r="L5" s="1"/>
      <x:c r="M5" s="1"/>
      <x:c r="N5" s="1"/>
      <x:c r="O5" s="1"/>
      <x:c r="P5" s="1"/>
      <x:c r="Q5" s="1"/>
      <x:c r="R5" s="1"/>
      <x:c r="S5" s="1"/>
      <x:c r="T5" s="1"/>
      <x:c r="U5" s="1"/>
      <x:c r="V5" s="1"/>
      <x:c r="W5" s="1"/>
      <x:c r="X5" s="1"/>
      <x:c r="Y5" s="1"/>
      <x:c r="Z5" s="1"/>
    </x:row>
    <x:row r="6">
      <x:c r="A6" s="108" t="str">
        <x:v>Selected scenario</x:v>
      </x:c>
      <x:c r="B6" s="112" t="str">
        <x:v>Base</x:v>
      </x:c>
      <x:c r="C6" s="1"/>
      <x:c r="D6" s="108" t="str">
        <x:v>Demand factor</x:v>
      </x:c>
      <x:c r="E6" s="120" t="n">
        <x:f>IF($B$6="Base",'Scenarios'!$B$6,IF($B$6="Downside",'Scenarios'!$C$6,'Scenarios'!$D$6))</x:f>
        <x:v>1</x:v>
      </x:c>
      <x:c r="F6" s="1"/>
      <x:c r="G6" s="1"/>
      <x:c r="H6" s="1"/>
      <x:c r="I6" s="1"/>
      <x:c r="J6" s="1"/>
      <x:c r="K6" s="1"/>
      <x:c r="L6" s="1"/>
      <x:c r="M6" s="1"/>
      <x:c r="N6" s="1"/>
      <x:c r="O6" s="1"/>
      <x:c r="P6" s="1"/>
      <x:c r="Q6" s="1"/>
      <x:c r="R6" s="1"/>
      <x:c r="S6" s="1"/>
      <x:c r="T6" s="1"/>
      <x:c r="U6" s="1"/>
      <x:c r="V6" s="1"/>
      <x:c r="W6" s="1"/>
      <x:c r="X6" s="1"/>
      <x:c r="Y6" s="1"/>
      <x:c r="Z6" s="1"/>
    </x:row>
    <x:row r="7">
      <x:c r="A7" s="109" t="str">
        <x:v>Forecast start week</x:v>
      </x:c>
      <x:c r="B7" s="114" t="n">
        <x:v>46258</x:v>
      </x:c>
      <x:c r="C7" s="1"/>
      <x:c r="D7" s="109" t="str">
        <x:v>Opening-AR recovery</x:v>
      </x:c>
      <x:c r="E7" s="121" t="n">
        <x:f>IF($B$6="Base",'Scenarios'!$B$7,IF($B$6="Downside",'Scenarios'!$C$7,'Scenarios'!$D$7))</x:f>
        <x:v>0.92</x:v>
      </x:c>
      <x:c r="F7" s="1"/>
      <x:c r="G7" s="1"/>
      <x:c r="H7" s="1"/>
      <x:c r="I7" s="1"/>
      <x:c r="J7" s="1"/>
      <x:c r="K7" s="1"/>
      <x:c r="L7" s="1"/>
      <x:c r="M7" s="1"/>
      <x:c r="N7" s="1"/>
      <x:c r="O7" s="1"/>
      <x:c r="P7" s="1"/>
      <x:c r="Q7" s="1"/>
      <x:c r="R7" s="1"/>
      <x:c r="S7" s="1"/>
      <x:c r="T7" s="1"/>
      <x:c r="U7" s="1"/>
      <x:c r="V7" s="1"/>
      <x:c r="W7" s="1"/>
      <x:c r="X7" s="1"/>
      <x:c r="Y7" s="1"/>
      <x:c r="Z7" s="1"/>
    </x:row>
    <x:row r="8">
      <x:c r="A8" s="109" t="str">
        <x:v>Initial cash</x:v>
      </x:c>
      <x:c r="B8" s="115" t="n">
        <x:v>900000</x:v>
      </x:c>
      <x:c r="C8" s="1"/>
      <x:c r="D8" s="109" t="str">
        <x:v>Collection timing shift (weeks)</x:v>
      </x:c>
      <x:c r="E8" s="122" t="n">
        <x:f>IF($B$6="Base",'Scenarios'!$B$8,IF($B$6="Downside",'Scenarios'!$C$8,'Scenarios'!$D$8))</x:f>
        <x:v>0</x:v>
      </x:c>
      <x:c r="F8" s="1"/>
      <x:c r="G8" s="1"/>
      <x:c r="H8" s="1"/>
      <x:c r="I8" s="1"/>
      <x:c r="J8" s="1"/>
      <x:c r="K8" s="1"/>
      <x:c r="L8" s="1"/>
      <x:c r="M8" s="1"/>
      <x:c r="N8" s="1"/>
      <x:c r="O8" s="1"/>
      <x:c r="P8" s="1"/>
      <x:c r="Q8" s="1"/>
      <x:c r="R8" s="1"/>
      <x:c r="S8" s="1"/>
      <x:c r="T8" s="1"/>
      <x:c r="U8" s="1"/>
      <x:c r="V8" s="1"/>
      <x:c r="W8" s="1"/>
      <x:c r="X8" s="1"/>
      <x:c r="Y8" s="1"/>
      <x:c r="Z8" s="1"/>
    </x:row>
    <x:row r="9">
      <x:c r="A9" s="109" t="str">
        <x:v>Minimum cash guardrail</x:v>
      </x:c>
      <x:c r="B9" s="115" t="n">
        <x:v>500000</x:v>
      </x:c>
      <x:c r="C9" s="1"/>
      <x:c r="D9" s="109" t="str">
        <x:v>Supplier payment factor</x:v>
      </x:c>
      <x:c r="E9" s="121" t="n">
        <x:f>IF($B$6="Base",'Scenarios'!$B$9,IF($B$6="Downside",'Scenarios'!$C$9,'Scenarios'!$D$9))</x:f>
        <x:v>0.95</x:v>
      </x:c>
      <x:c r="F9" s="1"/>
      <x:c r="G9" s="1"/>
      <x:c r="H9" s="1"/>
      <x:c r="I9" s="1"/>
      <x:c r="J9" s="1"/>
      <x:c r="K9" s="1"/>
      <x:c r="L9" s="1"/>
      <x:c r="M9" s="1"/>
      <x:c r="N9" s="1"/>
      <x:c r="O9" s="1"/>
      <x:c r="P9" s="1"/>
      <x:c r="Q9" s="1"/>
      <x:c r="R9" s="1"/>
      <x:c r="S9" s="1"/>
      <x:c r="T9" s="1"/>
      <x:c r="U9" s="1"/>
      <x:c r="V9" s="1"/>
      <x:c r="W9" s="1"/>
      <x:c r="X9" s="1"/>
      <x:c r="Y9" s="1"/>
      <x:c r="Z9" s="1"/>
    </x:row>
    <x:row r="10">
      <x:c r="A10" s="109" t="str">
        <x:v>Revolver limit</x:v>
      </x:c>
      <x:c r="B10" s="115" t="n">
        <x:v>750000</x:v>
      </x:c>
      <x:c r="C10" s="1"/>
      <x:c r="D10" s="109" t="str">
        <x:v>Discretionary spend factor</x:v>
      </x:c>
      <x:c r="E10" s="121" t="n">
        <x:f>IF($B$6="Base",'Scenarios'!$B$10,IF($B$6="Downside",'Scenarios'!$C$10,'Scenarios'!$D$10))</x:f>
        <x:v>1</x:v>
      </x:c>
      <x:c r="F10" s="1"/>
      <x:c r="G10" s="1"/>
      <x:c r="H10" s="1"/>
      <x:c r="I10" s="1"/>
      <x:c r="J10" s="1"/>
      <x:c r="K10" s="1"/>
      <x:c r="L10" s="1"/>
      <x:c r="M10" s="1"/>
      <x:c r="N10" s="1"/>
      <x:c r="O10" s="1"/>
      <x:c r="P10" s="1"/>
      <x:c r="Q10" s="1"/>
      <x:c r="R10" s="1"/>
      <x:c r="S10" s="1"/>
      <x:c r="T10" s="1"/>
      <x:c r="U10" s="1"/>
      <x:c r="V10" s="1"/>
      <x:c r="W10" s="1"/>
      <x:c r="X10" s="1"/>
      <x:c r="Y10" s="1"/>
      <x:c r="Z10" s="1"/>
    </x:row>
    <x:row r="11">
      <x:c r="A11" s="109" t="str">
        <x:v>Opening accounts receivable</x:v>
      </x:c>
      <x:c r="B11" s="115" t="n">
        <x:v>3250000</x:v>
      </x:c>
      <x:c r="C11" s="1"/>
      <x:c r="D11" s="109" t="str">
        <x:v>Inventory purchase-deferral factor</x:v>
      </x:c>
      <x:c r="E11" s="121" t="n">
        <x:f>IF($B$6="Base",'Scenarios'!$B$11,IF($B$6="Downside",'Scenarios'!$C$11,'Scenarios'!$D$11))</x:f>
        <x:v>0.25</x:v>
      </x:c>
      <x:c r="F11" s="1"/>
      <x:c r="G11" s="1"/>
      <x:c r="H11" s="1"/>
      <x:c r="I11" s="1"/>
      <x:c r="J11" s="1"/>
      <x:c r="K11" s="1"/>
      <x:c r="L11" s="1"/>
      <x:c r="M11" s="1"/>
      <x:c r="N11" s="1"/>
      <x:c r="O11" s="1"/>
      <x:c r="P11" s="1"/>
      <x:c r="Q11" s="1"/>
      <x:c r="R11" s="1"/>
      <x:c r="S11" s="1"/>
      <x:c r="T11" s="1"/>
      <x:c r="U11" s="1"/>
      <x:c r="V11" s="1"/>
      <x:c r="W11" s="1"/>
      <x:c r="X11" s="1"/>
      <x:c r="Y11" s="1"/>
      <x:c r="Z11" s="1"/>
    </x:row>
    <x:row r="12">
      <x:c r="A12" s="109" t="str">
        <x:v>Opening accounts payable</x:v>
      </x:c>
      <x:c r="B12" s="115" t="n">
        <x:v>2100000</x:v>
      </x:c>
      <x:c r="C12" s="1"/>
      <x:c r="D12" s="1"/>
      <x:c r="E12" s="1"/>
      <x:c r="F12" s="1"/>
      <x:c r="G12" s="1"/>
      <x:c r="H12" s="1"/>
      <x:c r="I12" s="1"/>
      <x:c r="J12" s="1"/>
      <x:c r="K12" s="1"/>
      <x:c r="L12" s="1"/>
      <x:c r="M12" s="1"/>
      <x:c r="N12" s="1"/>
      <x:c r="O12" s="1"/>
      <x:c r="P12" s="1"/>
      <x:c r="Q12" s="1"/>
      <x:c r="R12" s="1"/>
      <x:c r="S12" s="1"/>
      <x:c r="T12" s="1"/>
      <x:c r="U12" s="1"/>
      <x:c r="V12" s="1"/>
      <x:c r="W12" s="1"/>
      <x:c r="X12" s="1"/>
      <x:c r="Y12" s="1"/>
      <x:c r="Z12" s="1"/>
    </x:row>
    <x:row r="13">
      <x:c r="A13" s="109" t="str">
        <x:v>Opening inventory</x:v>
      </x:c>
      <x:c r="B13" s="115" t="n">
        <x:v>1650000</x:v>
      </x:c>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09" t="str">
        <x:v>Weekly forecast sales</x:v>
      </x:c>
      <x:c r="B14" s="115" t="n">
        <x:v>520000</x:v>
      </x:c>
      <x:c r="C14" s="1"/>
      <x:c r="D14" s="142" t="str">
        <x:v>Scenario interpretation
Base: normal collections and planned supplier payments.
Downside: weaker demand, slower collections, and tighter spend.
Recovery: stronger collections plus faster inventory normalization.</x:v>
      </x:c>
      <x:c r="E14" s="143"/>
      <x:c r="F14" s="143"/>
      <x:c r="G14" s="144"/>
      <x:c r="H14" s="1"/>
      <x:c r="I14" s="1"/>
      <x:c r="J14" s="1"/>
      <x:c r="K14" s="1"/>
      <x:c r="L14" s="1"/>
      <x:c r="M14" s="1"/>
      <x:c r="N14" s="1"/>
      <x:c r="O14" s="1"/>
      <x:c r="P14" s="1"/>
      <x:c r="Q14" s="1"/>
      <x:c r="R14" s="1"/>
      <x:c r="S14" s="1"/>
      <x:c r="T14" s="1"/>
      <x:c r="U14" s="1"/>
      <x:c r="V14" s="1"/>
      <x:c r="W14" s="1"/>
      <x:c r="X14" s="1"/>
      <x:c r="Y14" s="1"/>
      <x:c r="Z14" s="1"/>
    </x:row>
    <x:row r="15">
      <x:c r="A15" s="109" t="str">
        <x:v>Gross margin</x:v>
      </x:c>
      <x:c r="B15" s="116" t="n">
        <x:v>0.32</x:v>
      </x:c>
      <x:c r="C15" s="1"/>
      <x:c r="D15" s="145"/>
      <x:c r="E15" s="146"/>
      <x:c r="F15" s="146"/>
      <x:c r="G15" s="147"/>
      <x:c r="H15" s="1"/>
      <x:c r="I15" s="1"/>
      <x:c r="J15" s="1"/>
      <x:c r="K15" s="1"/>
      <x:c r="L15" s="1"/>
      <x:c r="M15" s="1"/>
      <x:c r="N15" s="1"/>
      <x:c r="O15" s="1"/>
      <x:c r="P15" s="1"/>
      <x:c r="Q15" s="1"/>
      <x:c r="R15" s="1"/>
      <x:c r="S15" s="1"/>
      <x:c r="T15" s="1"/>
      <x:c r="U15" s="1"/>
      <x:c r="V15" s="1"/>
      <x:c r="W15" s="1"/>
      <x:c r="X15" s="1"/>
      <x:c r="Y15" s="1"/>
      <x:c r="Z15" s="1"/>
    </x:row>
    <x:row r="16">
      <x:c r="A16" s="109" t="str">
        <x:v>New-sales collection within horizon</x:v>
      </x:c>
      <x:c r="B16" s="116" t="n">
        <x:v>0.7</x:v>
      </x:c>
      <x:c r="C16" s="1"/>
      <x:c r="D16" s="145"/>
      <x:c r="E16" s="146"/>
      <x:c r="F16" s="146"/>
      <x:c r="G16" s="147"/>
      <x:c r="H16" s="1"/>
      <x:c r="I16" s="1"/>
      <x:c r="J16" s="1"/>
      <x:c r="K16" s="1"/>
      <x:c r="L16" s="1"/>
      <x:c r="M16" s="1"/>
      <x:c r="N16" s="1"/>
      <x:c r="O16" s="1"/>
      <x:c r="P16" s="1"/>
      <x:c r="Q16" s="1"/>
      <x:c r="R16" s="1"/>
      <x:c r="S16" s="1"/>
      <x:c r="T16" s="1"/>
      <x:c r="U16" s="1"/>
      <x:c r="V16" s="1"/>
      <x:c r="W16" s="1"/>
      <x:c r="X16" s="1"/>
      <x:c r="Y16" s="1"/>
      <x:c r="Z16" s="1"/>
    </x:row>
    <x:row r="17">
      <x:c r="A17" s="109" t="str">
        <x:v>Weekly payroll</x:v>
      </x:c>
      <x:c r="B17" s="115" t="n">
        <x:v>165000</x:v>
      </x:c>
      <x:c r="C17" s="1"/>
      <x:c r="D17" s="145"/>
      <x:c r="E17" s="146"/>
      <x:c r="F17" s="146"/>
      <x:c r="G17" s="147"/>
      <x:c r="H17" s="1"/>
      <x:c r="I17" s="1"/>
      <x:c r="J17" s="1"/>
      <x:c r="K17" s="1"/>
      <x:c r="L17" s="1"/>
      <x:c r="M17" s="1"/>
      <x:c r="N17" s="1"/>
      <x:c r="O17" s="1"/>
      <x:c r="P17" s="1"/>
      <x:c r="Q17" s="1"/>
      <x:c r="R17" s="1"/>
      <x:c r="S17" s="1"/>
      <x:c r="T17" s="1"/>
      <x:c r="U17" s="1"/>
      <x:c r="V17" s="1"/>
      <x:c r="W17" s="1"/>
      <x:c r="X17" s="1"/>
      <x:c r="Y17" s="1"/>
      <x:c r="Z17" s="1"/>
    </x:row>
    <x:row r="18">
      <x:c r="A18" s="109" t="str">
        <x:v>Weekly operating expenses</x:v>
      </x:c>
      <x:c r="B18" s="115" t="n">
        <x:v>95000</x:v>
      </x:c>
      <x:c r="C18" s="1"/>
      <x:c r="D18" s="148"/>
      <x:c r="E18" s="149"/>
      <x:c r="F18" s="149"/>
      <x:c r="G18" s="150"/>
      <x:c r="H18" s="1"/>
      <x:c r="I18" s="1"/>
      <x:c r="J18" s="1"/>
      <x:c r="K18" s="1"/>
      <x:c r="L18" s="1"/>
      <x:c r="M18" s="1"/>
      <x:c r="N18" s="1"/>
      <x:c r="O18" s="1"/>
      <x:c r="P18" s="1"/>
      <x:c r="Q18" s="1"/>
      <x:c r="R18" s="1"/>
      <x:c r="S18" s="1"/>
      <x:c r="T18" s="1"/>
      <x:c r="U18" s="1"/>
      <x:c r="V18" s="1"/>
      <x:c r="W18" s="1"/>
      <x:c r="X18" s="1"/>
      <x:c r="Y18" s="1"/>
      <x:c r="Z18" s="1"/>
    </x:row>
    <x:row r="19">
      <x:c r="A19" s="109" t="str">
        <x:v>Weekly rent</x:v>
      </x:c>
      <x:c r="B19" s="115" t="n">
        <x:v>28000</x:v>
      </x:c>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09" t="str">
        <x:v>Weekly logistics &amp; freight</x:v>
      </x:c>
      <x:c r="B20" s="115" t="n">
        <x:v>52000</x:v>
      </x:c>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09" t="str">
        <x:v>Weekly capex</x:v>
      </x:c>
      <x:c r="B21" s="115" t="n">
        <x:v>20000</x:v>
      </x:c>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09" t="str">
        <x:v>Tax payment week</x:v>
      </x:c>
      <x:c r="B22" s="117" t="n">
        <x:v>7</x:v>
      </x:c>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09" t="str">
        <x:v>Tax payment amount</x:v>
      </x:c>
      <x:c r="B23" s="115" t="n">
        <x:v>180000</x:v>
      </x:c>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sheetData>
  <x:mergeCells>
    <x:mergeCell ref="A1:G2"/>
    <x:mergeCell ref="A3:G3"/>
    <x:mergeCell ref="A5:G5"/>
    <x:mergeCell ref="D5:G5"/>
    <x:mergeCell ref="D14:G18"/>
  </x:mergeCells>
  <x:dataValidations count="1">
    <x:dataValidation type="list" sqref="B6">
      <x:formula1>"Base,Downside,Recovery"</x:formula1>
    </x:dataValidation>
  </x:dataValidations>
  <x:pageMargins left="0.7" right="0.7" top="0.75" bottom="0.75" header="0.3" footer="0.3"/>
  <x:legacyDrawing xmlns:r="http://schemas.openxmlformats.org/officeDocument/2006/relationships" r:id="R32ccdfd721f0435d"/>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48" hidden="0" customWidth="1"/>
    <x:col min="4" max="4" width="22" hidden="0" customWidth="1"/>
    <x:col min="5" max="5" width="22" hidden="0" customWidth="1"/>
    <x:col min="6" max="6" width="22" hidden="0" customWidth="1"/>
  </x:cols>
  <x:sheetData>
    <x:row r="1" ht="25" customHeight="1">
      <x:c r="A1" s="4" t="str">
        <x:v>SCENARIO LIBRARY</x:v>
      </x:c>
      <x:c r="B1" s="4"/>
      <x:c r="C1" s="4"/>
      <x:c r="D1" s="4"/>
      <x:c r="E1" s="4"/>
      <x:c r="F1" s="4"/>
      <x:c r="G1" s="1"/>
      <x:c r="H1" s="1"/>
      <x:c r="I1" s="1"/>
      <x:c r="J1" s="1"/>
      <x:c r="K1" s="1"/>
      <x:c r="L1" s="1"/>
      <x:c r="M1" s="1"/>
      <x:c r="N1" s="1"/>
      <x:c r="O1" s="1"/>
      <x:c r="P1" s="1"/>
      <x:c r="Q1" s="1"/>
      <x:c r="R1" s="1"/>
      <x:c r="S1" s="1"/>
      <x:c r="T1" s="1"/>
      <x:c r="U1" s="1"/>
      <x:c r="V1" s="1"/>
      <x:c r="W1" s="1"/>
      <x:c r="X1" s="1"/>
      <x:c r="Y1" s="1"/>
      <x:c r="Z1" s="1"/>
    </x:row>
    <x:row r="2" ht="25" customHeight="1">
      <x:c r="A2" s="4"/>
      <x:c r="B2" s="4"/>
      <x:c r="C2" s="4"/>
      <x:c r="D2" s="4"/>
      <x:c r="E2" s="4"/>
      <x:c r="F2" s="4"/>
      <x:c r="G2" s="1"/>
      <x:c r="H2" s="1"/>
      <x:c r="I2" s="1"/>
      <x:c r="J2" s="1"/>
      <x:c r="K2" s="1"/>
      <x:c r="L2" s="1"/>
      <x:c r="M2" s="1"/>
      <x:c r="N2" s="1"/>
      <x:c r="O2" s="1"/>
      <x:c r="P2" s="1"/>
      <x:c r="Q2" s="1"/>
      <x:c r="R2" s="1"/>
      <x:c r="S2" s="1"/>
      <x:c r="T2" s="1"/>
      <x:c r="U2" s="1"/>
      <x:c r="V2" s="1"/>
      <x:c r="W2" s="1"/>
      <x:c r="X2" s="1"/>
      <x:c r="Y2" s="1"/>
      <x:c r="Z2" s="1"/>
    </x:row>
    <x:row r="3" ht="25" customHeight="1">
      <x:c r="A3" s="7" t="str">
        <x:v>Each selected driver flows into collections, purchasing, operating costs, and liquidity</x:v>
      </x:c>
      <x:c r="B3" s="7"/>
      <x:c r="C3" s="7"/>
      <x:c r="D3" s="7"/>
      <x:c r="E3" s="7"/>
      <x:c r="F3" s="7"/>
      <x:c r="G3" s="1"/>
      <x:c r="H3" s="1"/>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155" t="str">
        <x:v>Driver</x:v>
      </x:c>
      <x:c r="B5" s="155" t="str">
        <x:v>Base</x:v>
      </x:c>
      <x:c r="C5" s="155" t="str">
        <x:v>Downside</x:v>
      </x:c>
      <x:c r="D5" s="155" t="str">
        <x:v>Recovery</x:v>
      </x:c>
      <x:c r="E5" s="1"/>
      <x:c r="F5" s="1"/>
      <x:c r="G5" s="1"/>
      <x:c r="H5" s="1"/>
      <x:c r="I5" s="1"/>
      <x:c r="J5" s="1"/>
      <x:c r="K5" s="1"/>
      <x:c r="L5" s="1"/>
      <x:c r="M5" s="1"/>
      <x:c r="N5" s="1"/>
      <x:c r="O5" s="1"/>
      <x:c r="P5" s="1"/>
      <x:c r="Q5" s="1"/>
      <x:c r="R5" s="1"/>
      <x:c r="S5" s="1"/>
      <x:c r="T5" s="1"/>
      <x:c r="U5" s="1"/>
      <x:c r="V5" s="1"/>
      <x:c r="W5" s="1"/>
      <x:c r="X5" s="1"/>
      <x:c r="Y5" s="1"/>
      <x:c r="Z5" s="1"/>
    </x:row>
    <x:row r="6">
      <x:c r="A6" s="108" t="str">
        <x:v>Demand factor</x:v>
      </x:c>
      <x:c r="B6" s="162" t="n">
        <x:v>1</x:v>
      </x:c>
      <x:c r="C6" s="162" t="n">
        <x:v>0.88</x:v>
      </x:c>
      <x:c r="D6" s="162" t="n">
        <x:v>1.05</x:v>
      </x:c>
      <x:c r="E6" s="1"/>
      <x:c r="F6" s="1"/>
      <x:c r="G6" s="1"/>
      <x:c r="H6" s="1"/>
      <x:c r="I6" s="1"/>
      <x:c r="J6" s="1"/>
      <x:c r="K6" s="1"/>
      <x:c r="L6" s="1"/>
      <x:c r="M6" s="1"/>
      <x:c r="N6" s="1"/>
      <x:c r="O6" s="1"/>
      <x:c r="P6" s="1"/>
      <x:c r="Q6" s="1"/>
      <x:c r="R6" s="1"/>
      <x:c r="S6" s="1"/>
      <x:c r="T6" s="1"/>
      <x:c r="U6" s="1"/>
      <x:c r="V6" s="1"/>
      <x:c r="W6" s="1"/>
      <x:c r="X6" s="1"/>
      <x:c r="Y6" s="1"/>
      <x:c r="Z6" s="1"/>
    </x:row>
    <x:row r="7">
      <x:c r="A7" s="109" t="str">
        <x:v>Opening-AR recovery</x:v>
      </x:c>
      <x:c r="B7" s="116" t="n">
        <x:v>0.92</x:v>
      </x:c>
      <x:c r="C7" s="116" t="n">
        <x:v>0.82</x:v>
      </x:c>
      <x:c r="D7" s="116" t="n">
        <x:v>0.97</x:v>
      </x:c>
      <x:c r="E7" s="1"/>
      <x:c r="F7" s="1"/>
      <x:c r="G7" s="1"/>
      <x:c r="H7" s="1"/>
      <x:c r="I7" s="1"/>
      <x:c r="J7" s="1"/>
      <x:c r="K7" s="1"/>
      <x:c r="L7" s="1"/>
      <x:c r="M7" s="1"/>
      <x:c r="N7" s="1"/>
      <x:c r="O7" s="1"/>
      <x:c r="P7" s="1"/>
      <x:c r="Q7" s="1"/>
      <x:c r="R7" s="1"/>
      <x:c r="S7" s="1"/>
      <x:c r="T7" s="1"/>
      <x:c r="U7" s="1"/>
      <x:c r="V7" s="1"/>
      <x:c r="W7" s="1"/>
      <x:c r="X7" s="1"/>
      <x:c r="Y7" s="1"/>
      <x:c r="Z7" s="1"/>
    </x:row>
    <x:row r="8">
      <x:c r="A8" s="109" t="str">
        <x:v>Collection timing shift (weeks)</x:v>
      </x:c>
      <x:c r="B8" s="117" t="n">
        <x:v>0</x:v>
      </x:c>
      <x:c r="C8" s="117" t="n">
        <x:v>1</x:v>
      </x:c>
      <x:c r="D8" s="117" t="n">
        <x:v>-1</x:v>
      </x:c>
      <x:c r="E8" s="1"/>
      <x:c r="F8" s="1"/>
      <x:c r="G8" s="1"/>
      <x:c r="H8" s="1"/>
      <x:c r="I8" s="1"/>
      <x:c r="J8" s="1"/>
      <x:c r="K8" s="1"/>
      <x:c r="L8" s="1"/>
      <x:c r="M8" s="1"/>
      <x:c r="N8" s="1"/>
      <x:c r="O8" s="1"/>
      <x:c r="P8" s="1"/>
      <x:c r="Q8" s="1"/>
      <x:c r="R8" s="1"/>
      <x:c r="S8" s="1"/>
      <x:c r="T8" s="1"/>
      <x:c r="U8" s="1"/>
      <x:c r="V8" s="1"/>
      <x:c r="W8" s="1"/>
      <x:c r="X8" s="1"/>
      <x:c r="Y8" s="1"/>
      <x:c r="Z8" s="1"/>
    </x:row>
    <x:row r="9">
      <x:c r="A9" s="109" t="str">
        <x:v>Supplier payment factor</x:v>
      </x:c>
      <x:c r="B9" s="116" t="n">
        <x:v>0.95</x:v>
      </x:c>
      <x:c r="C9" s="116" t="n">
        <x:v>0.85</x:v>
      </x:c>
      <x:c r="D9" s="116" t="n">
        <x:v>1</x:v>
      </x:c>
      <x:c r="E9" s="1"/>
      <x:c r="F9" s="1"/>
      <x:c r="G9" s="1"/>
      <x:c r="H9" s="1"/>
      <x:c r="I9" s="1"/>
      <x:c r="J9" s="1"/>
      <x:c r="K9" s="1"/>
      <x:c r="L9" s="1"/>
      <x:c r="M9" s="1"/>
      <x:c r="N9" s="1"/>
      <x:c r="O9" s="1"/>
      <x:c r="P9" s="1"/>
      <x:c r="Q9" s="1"/>
      <x:c r="R9" s="1"/>
      <x:c r="S9" s="1"/>
      <x:c r="T9" s="1"/>
      <x:c r="U9" s="1"/>
      <x:c r="V9" s="1"/>
      <x:c r="W9" s="1"/>
      <x:c r="X9" s="1"/>
      <x:c r="Y9" s="1"/>
      <x:c r="Z9" s="1"/>
    </x:row>
    <x:row r="10">
      <x:c r="A10" s="109" t="str">
        <x:v>Discretionary spend factor</x:v>
      </x:c>
      <x:c r="B10" s="116" t="n">
        <x:v>1</x:v>
      </x:c>
      <x:c r="C10" s="116" t="n">
        <x:v>0.9</x:v>
      </x:c>
      <x:c r="D10" s="116" t="n">
        <x:v>1.05</x:v>
      </x:c>
      <x:c r="E10" s="1"/>
      <x:c r="F10" s="1"/>
      <x:c r="G10" s="1"/>
      <x:c r="H10" s="1"/>
      <x:c r="I10" s="1"/>
      <x:c r="J10" s="1"/>
      <x:c r="K10" s="1"/>
      <x:c r="L10" s="1"/>
      <x:c r="M10" s="1"/>
      <x:c r="N10" s="1"/>
      <x:c r="O10" s="1"/>
      <x:c r="P10" s="1"/>
      <x:c r="Q10" s="1"/>
      <x:c r="R10" s="1"/>
      <x:c r="S10" s="1"/>
      <x:c r="T10" s="1"/>
      <x:c r="U10" s="1"/>
      <x:c r="V10" s="1"/>
      <x:c r="W10" s="1"/>
      <x:c r="X10" s="1"/>
      <x:c r="Y10" s="1"/>
      <x:c r="Z10" s="1"/>
    </x:row>
    <x:row r="11">
      <x:c r="A11" s="109" t="str">
        <x:v>Inventory purchase-deferral factor</x:v>
      </x:c>
      <x:c r="B11" s="116" t="n">
        <x:v>0.25</x:v>
      </x:c>
      <x:c r="C11" s="116" t="n">
        <x:v>0.1</x:v>
      </x:c>
      <x:c r="D11" s="116" t="n">
        <x:v>0.4</x:v>
      </x:c>
      <x:c r="E11" s="1"/>
      <x:c r="F11" s="1"/>
      <x:c r="G11" s="1"/>
      <x:c r="H11" s="1"/>
      <x:c r="I11" s="1"/>
      <x:c r="J11" s="1"/>
      <x:c r="K11" s="1"/>
      <x:c r="L11" s="1"/>
      <x:c r="M11" s="1"/>
      <x:c r="N11" s="1"/>
      <x:c r="O11" s="1"/>
      <x:c r="P11" s="1"/>
      <x:c r="Q11" s="1"/>
      <x:c r="R11" s="1"/>
      <x:c r="S11" s="1"/>
      <x:c r="T11" s="1"/>
      <x:c r="U11" s="1"/>
      <x:c r="V11" s="1"/>
      <x:c r="W11" s="1"/>
      <x:c r="X11" s="1"/>
      <x:c r="Y11" s="1"/>
      <x:c r="Z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70" t="str">
        <x:v>DECISION USE</x:v>
      </x:c>
      <x:c r="B14" s="70"/>
      <x:c r="C14" s="70"/>
      <x:c r="D14" s="70"/>
      <x:c r="E14" s="70"/>
      <x:c r="F14" s="70"/>
      <x:c r="G14" s="1"/>
      <x:c r="H14" s="1"/>
      <x:c r="I14" s="1"/>
      <x:c r="J14" s="1"/>
      <x:c r="K14" s="1"/>
      <x:c r="L14" s="1"/>
      <x:c r="M14" s="1"/>
      <x:c r="N14" s="1"/>
      <x:c r="O14" s="1"/>
      <x:c r="P14" s="1"/>
      <x:c r="Q14" s="1"/>
      <x:c r="R14" s="1"/>
      <x:c r="S14" s="1"/>
      <x:c r="T14" s="1"/>
      <x:c r="U14" s="1"/>
      <x:c r="V14" s="1"/>
      <x:c r="W14" s="1"/>
      <x:c r="X14" s="1"/>
      <x:c r="Y14" s="1"/>
      <x:c r="Z14" s="1"/>
    </x:row>
    <x:row r="15">
      <x:c r="A15" s="155" t="str">
        <x:v>Scenario</x:v>
      </x:c>
      <x:c r="B15" s="155" t="str">
        <x:v>Purpose</x:v>
      </x:c>
      <x:c r="C15" s="155" t="str">
        <x:v>Management question</x:v>
      </x:c>
      <x:c r="D15" s="155" t="str">
        <x:v>Collection stance</x:v>
      </x:c>
      <x:c r="E15" s="155" t="str">
        <x:v>Supplier stance</x:v>
      </x:c>
      <x:c r="F15" s="155" t="str">
        <x:v>Inventory stance</x:v>
      </x:c>
      <x:c r="G15" s="1"/>
      <x:c r="H15" s="1"/>
      <x:c r="I15" s="1"/>
      <x:c r="J15" s="1"/>
      <x:c r="K15" s="1"/>
      <x:c r="L15" s="1"/>
      <x:c r="M15" s="1"/>
      <x:c r="N15" s="1"/>
      <x:c r="O15" s="1"/>
      <x:c r="P15" s="1"/>
      <x:c r="Q15" s="1"/>
      <x:c r="R15" s="1"/>
      <x:c r="S15" s="1"/>
      <x:c r="T15" s="1"/>
      <x:c r="U15" s="1"/>
      <x:c r="V15" s="1"/>
      <x:c r="W15" s="1"/>
      <x:c r="X15" s="1"/>
      <x:c r="Y15" s="1"/>
      <x:c r="Z15" s="1"/>
    </x:row>
    <x:row r="16">
      <x:c r="A16" s="163" t="str">
        <x:v>Base</x:v>
      </x:c>
      <x:c r="B16" s="163" t="str">
        <x:v>Operating view</x:v>
      </x:c>
      <x:c r="C16" s="163" t="str">
        <x:v>Can the current plan protect the guardrail?</x:v>
      </x:c>
      <x:c r="D16" s="163" t="str">
        <x:v>Normal</x:v>
      </x:c>
      <x:c r="E16" s="163" t="str">
        <x:v>Planned</x:v>
      </x:c>
      <x:c r="F16" s="163" t="str">
        <x:v>Selective deferral</x:v>
      </x:c>
      <x:c r="G16" s="1"/>
      <x:c r="H16" s="1"/>
      <x:c r="I16" s="1"/>
      <x:c r="J16" s="1"/>
      <x:c r="K16" s="1"/>
      <x:c r="L16" s="1"/>
      <x:c r="M16" s="1"/>
      <x:c r="N16" s="1"/>
      <x:c r="O16" s="1"/>
      <x:c r="P16" s="1"/>
      <x:c r="Q16" s="1"/>
      <x:c r="R16" s="1"/>
      <x:c r="S16" s="1"/>
      <x:c r="T16" s="1"/>
      <x:c r="U16" s="1"/>
      <x:c r="V16" s="1"/>
      <x:c r="W16" s="1"/>
      <x:c r="X16" s="1"/>
      <x:c r="Y16" s="1"/>
      <x:c r="Z16" s="1"/>
    </x:row>
    <x:row r="17">
      <x:c r="A17" s="164" t="str">
        <x:v>Downside</x:v>
      </x:c>
      <x:c r="B17" s="164" t="str">
        <x:v>Liquidity stress</x:v>
      </x:c>
      <x:c r="C17" s="164" t="str">
        <x:v>How much facility is needed if demand and collections weaken?</x:v>
      </x:c>
      <x:c r="D17" s="164" t="str">
        <x:v>Delayed</x:v>
      </x:c>
      <x:c r="E17" s="164" t="str">
        <x:v>Preserve critical vendors</x:v>
      </x:c>
      <x:c r="F17" s="164" t="str">
        <x:v>Limited release</x:v>
      </x:c>
      <x:c r="G17" s="1"/>
      <x:c r="H17" s="1"/>
      <x:c r="I17" s="1"/>
      <x:c r="J17" s="1"/>
      <x:c r="K17" s="1"/>
      <x:c r="L17" s="1"/>
      <x:c r="M17" s="1"/>
      <x:c r="N17" s="1"/>
      <x:c r="O17" s="1"/>
      <x:c r="P17" s="1"/>
      <x:c r="Q17" s="1"/>
      <x:c r="R17" s="1"/>
      <x:c r="S17" s="1"/>
      <x:c r="T17" s="1"/>
      <x:c r="U17" s="1"/>
      <x:c r="V17" s="1"/>
      <x:c r="W17" s="1"/>
      <x:c r="X17" s="1"/>
      <x:c r="Y17" s="1"/>
      <x:c r="Z17" s="1"/>
    </x:row>
    <x:row r="18">
      <x:c r="A18" s="164" t="str">
        <x:v>Recovery</x:v>
      </x:c>
      <x:c r="B18" s="164" t="str">
        <x:v>Execution case</x:v>
      </x:c>
      <x:c r="C18" s="164" t="str">
        <x:v>How much cash can focused collections and inventory action release?</x:v>
      </x:c>
      <x:c r="D18" s="164" t="str">
        <x:v>Accelerated</x:v>
      </x:c>
      <x:c r="E18" s="164" t="str">
        <x:v>Pay to plan</x:v>
      </x:c>
      <x:c r="F18" s="164" t="str">
        <x:v>Active normalization</x:v>
      </x:c>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sheetData>
  <x:mergeCells>
    <x:mergeCell ref="A1:F2"/>
    <x:mergeCell ref="A3:F3"/>
    <x:mergeCell ref="A14:F14"/>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13" hidden="0" customWidth="1"/>
    <x:col min="4" max="4" width="16" hidden="0" customWidth="1"/>
    <x:col min="5" max="5" width="12" hidden="0" customWidth="1"/>
    <x:col min="6" max="6" width="20" hidden="0" customWidth="1"/>
    <x:col min="7" max="7" width="20" hidden="0" customWidth="1"/>
    <x:col min="8" max="8" width="16" hidden="0" customWidth="1"/>
  </x:cols>
  <x:sheetData>
    <x:row r="1" ht="25" customHeight="1">
      <x:c r="A1" s="4" t="str">
        <x:v>ACCOUNTS RECEIVABLE COLLECTION PLAN</x:v>
      </x:c>
      <x:c r="B1" s="4"/>
      <x:c r="C1" s="4"/>
      <x:c r="D1" s="4"/>
      <x:c r="E1" s="4"/>
      <x:c r="F1" s="4"/>
      <x:c r="G1" s="4"/>
      <x:c r="H1" s="4"/>
      <x:c r="I1" s="1"/>
      <x:c r="J1" s="1"/>
      <x:c r="K1" s="1"/>
      <x:c r="L1" s="1"/>
      <x:c r="M1" s="1"/>
      <x:c r="N1" s="1"/>
      <x:c r="O1" s="1"/>
      <x:c r="P1" s="1"/>
      <x:c r="Q1" s="1"/>
      <x:c r="R1" s="1"/>
      <x:c r="S1" s="1"/>
      <x:c r="T1" s="1"/>
      <x:c r="U1" s="1"/>
      <x:c r="V1" s="1"/>
      <x:c r="W1" s="1"/>
      <x:c r="X1" s="1"/>
      <x:c r="Y1" s="1"/>
      <x:c r="Z1" s="1"/>
    </x:row>
    <x:row r="2" ht="25" customHeight="1">
      <x:c r="A2" s="4"/>
      <x:c r="B2" s="4"/>
      <x:c r="C2" s="4"/>
      <x:c r="D2" s="4"/>
      <x:c r="E2" s="4"/>
      <x:c r="F2" s="4"/>
      <x:c r="G2" s="4"/>
      <x:c r="H2" s="4"/>
      <x:c r="I2" s="1"/>
      <x:c r="J2" s="1"/>
      <x:c r="K2" s="1"/>
      <x:c r="L2" s="1"/>
      <x:c r="M2" s="1"/>
      <x:c r="N2" s="1"/>
      <x:c r="O2" s="1"/>
      <x:c r="P2" s="1"/>
      <x:c r="Q2" s="1"/>
      <x:c r="R2" s="1"/>
      <x:c r="S2" s="1"/>
      <x:c r="T2" s="1"/>
      <x:c r="U2" s="1"/>
      <x:c r="V2" s="1"/>
      <x:c r="W2" s="1"/>
      <x:c r="X2" s="1"/>
      <x:c r="Y2" s="1"/>
      <x:c r="Z2" s="1"/>
    </x:row>
    <x:row r="3" ht="25" customHeight="1">
      <x:c r="A3" s="7" t="str">
        <x:v>Opening receivables by customer · Expected cash responds to selected recovery and timing</x:v>
      </x:c>
      <x:c r="B3" s="7"/>
      <x:c r="C3" s="7"/>
      <x:c r="D3" s="7"/>
      <x:c r="E3" s="7"/>
      <x:c r="F3" s="7"/>
      <x:c r="G3" s="7"/>
      <x:c r="H3" s="7"/>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155" t="str">
        <x:v>Invoice ID</x:v>
      </x:c>
      <x:c r="B5" s="155" t="str">
        <x:v>Customer</x:v>
      </x:c>
      <x:c r="C5" s="155" t="str">
        <x:v>Region</x:v>
      </x:c>
      <x:c r="D5" s="155" t="str">
        <x:v>Balance</x:v>
      </x:c>
      <x:c r="E5" s="155" t="str">
        <x:v>Due week</x:v>
      </x:c>
      <x:c r="F5" s="155" t="str">
        <x:v>Customer collectability</x:v>
      </x:c>
      <x:c r="G5" s="155" t="str">
        <x:v>Adjusted collection week</x:v>
      </x:c>
      <x:c r="H5" s="155" t="str">
        <x:v>Expected cash</x:v>
      </x:c>
      <x:c r="I5" s="1"/>
      <x:c r="J5" s="1"/>
      <x:c r="K5" s="1"/>
      <x:c r="L5" s="1"/>
      <x:c r="M5" s="1"/>
      <x:c r="N5" s="1"/>
      <x:c r="O5" s="1"/>
      <x:c r="P5" s="1"/>
      <x:c r="Q5" s="1"/>
      <x:c r="R5" s="1"/>
      <x:c r="S5" s="1"/>
      <x:c r="T5" s="1"/>
      <x:c r="U5" s="1"/>
      <x:c r="V5" s="1"/>
      <x:c r="W5" s="1"/>
      <x:c r="X5" s="1"/>
      <x:c r="Y5" s="1"/>
      <x:c r="Z5" s="1"/>
    </x:row>
    <x:row r="6">
      <x:c r="A6" s="108" t="str">
        <x:v>INV-001</x:v>
      </x:c>
      <x:c r="B6" s="108" t="str">
        <x:v>Customer A</x:v>
      </x:c>
      <x:c r="C6" s="108" t="str">
        <x:v>North</x:v>
      </x:c>
      <x:c r="D6" s="165" t="n">
        <x:v>205000</x:v>
      </x:c>
      <x:c r="E6" s="108" t="n">
        <x:v>1</x:v>
      </x:c>
      <x:c r="F6" s="156" t="n">
        <x:v>0.98</x:v>
      </x:c>
      <x:c r="G6" s="118" t="n">
        <x:f>MAX(1,MIN(13,E6+'Assumptions'!$E$8))</x:f>
        <x:v>1</x:v>
      </x:c>
      <x:c r="H6" s="167" t="n">
        <x:f>D6*MIN(F6,'Assumptions'!$E$7)</x:f>
        <x:v>188600</x:v>
      </x:c>
      <x:c r="I6" s="1"/>
      <x:c r="J6" s="1"/>
      <x:c r="K6" s="1"/>
      <x:c r="L6" s="1"/>
      <x:c r="M6" s="1"/>
      <x:c r="N6" s="1"/>
      <x:c r="O6" s="1"/>
      <x:c r="P6" s="1"/>
      <x:c r="Q6" s="1"/>
      <x:c r="R6" s="1"/>
      <x:c r="S6" s="1"/>
      <x:c r="T6" s="1"/>
      <x:c r="U6" s="1"/>
      <x:c r="V6" s="1"/>
      <x:c r="W6" s="1"/>
      <x:c r="X6" s="1"/>
      <x:c r="Y6" s="1"/>
      <x:c r="Z6" s="1"/>
    </x:row>
    <x:row r="7">
      <x:c r="A7" s="109" t="str">
        <x:v>INV-002</x:v>
      </x:c>
      <x:c r="B7" s="109" t="str">
        <x:v>Customer B</x:v>
      </x:c>
      <x:c r="C7" s="109" t="str">
        <x:v>Central</x:v>
      </x:c>
      <x:c r="D7" s="166" t="n">
        <x:v>194000</x:v>
      </x:c>
      <x:c r="E7" s="109" t="n">
        <x:v>2</x:v>
      </x:c>
      <x:c r="F7" s="157" t="n">
        <x:v>0.95</x:v>
      </x:c>
      <x:c r="G7" s="119" t="n">
        <x:f>MAX(1,MIN(13,E7+'Assumptions'!$E$8))</x:f>
        <x:v>2</x:v>
      </x:c>
      <x:c r="H7" s="168" t="n">
        <x:f>D7*MIN(F7,'Assumptions'!$E$7)</x:f>
        <x:v>178480</x:v>
      </x:c>
      <x:c r="I7" s="1"/>
      <x:c r="J7" s="1"/>
      <x:c r="K7" s="1"/>
      <x:c r="L7" s="1"/>
      <x:c r="M7" s="1"/>
      <x:c r="N7" s="1"/>
      <x:c r="O7" s="1"/>
      <x:c r="P7" s="1"/>
      <x:c r="Q7" s="1"/>
      <x:c r="R7" s="1"/>
      <x:c r="S7" s="1"/>
      <x:c r="T7" s="1"/>
      <x:c r="U7" s="1"/>
      <x:c r="V7" s="1"/>
      <x:c r="W7" s="1"/>
      <x:c r="X7" s="1"/>
      <x:c r="Y7" s="1"/>
      <x:c r="Z7" s="1"/>
    </x:row>
    <x:row r="8">
      <x:c r="A8" s="109" t="str">
        <x:v>INV-003</x:v>
      </x:c>
      <x:c r="B8" s="109" t="str">
        <x:v>Customer C</x:v>
      </x:c>
      <x:c r="C8" s="109" t="str">
        <x:v>South</x:v>
      </x:c>
      <x:c r="D8" s="166" t="n">
        <x:v>183000</x:v>
      </x:c>
      <x:c r="E8" s="109" t="n">
        <x:v>3</x:v>
      </x:c>
      <x:c r="F8" s="157" t="n">
        <x:v>0.92</x:v>
      </x:c>
      <x:c r="G8" s="119" t="n">
        <x:f>MAX(1,MIN(13,E8+'Assumptions'!$E$8))</x:f>
        <x:v>3</x:v>
      </x:c>
      <x:c r="H8" s="168" t="n">
        <x:f>D8*MIN(F8,'Assumptions'!$E$7)</x:f>
        <x:v>168360</x:v>
      </x:c>
      <x:c r="I8" s="1"/>
      <x:c r="J8" s="1"/>
      <x:c r="K8" s="1"/>
      <x:c r="L8" s="1"/>
      <x:c r="M8" s="1"/>
      <x:c r="N8" s="1"/>
      <x:c r="O8" s="1"/>
      <x:c r="P8" s="1"/>
      <x:c r="Q8" s="1"/>
      <x:c r="R8" s="1"/>
      <x:c r="S8" s="1"/>
      <x:c r="T8" s="1"/>
      <x:c r="U8" s="1"/>
      <x:c r="V8" s="1"/>
      <x:c r="W8" s="1"/>
      <x:c r="X8" s="1"/>
      <x:c r="Y8" s="1"/>
      <x:c r="Z8" s="1"/>
    </x:row>
    <x:row r="9">
      <x:c r="A9" s="109" t="str">
        <x:v>INV-004</x:v>
      </x:c>
      <x:c r="B9" s="109" t="str">
        <x:v>Customer D</x:v>
      </x:c>
      <x:c r="C9" s="109" t="str">
        <x:v>North</x:v>
      </x:c>
      <x:c r="D9" s="166" t="n">
        <x:v>178000</x:v>
      </x:c>
      <x:c r="E9" s="109" t="n">
        <x:v>4</x:v>
      </x:c>
      <x:c r="F9" s="157" t="n">
        <x:v>0.88</x:v>
      </x:c>
      <x:c r="G9" s="119" t="n">
        <x:f>MAX(1,MIN(13,E9+'Assumptions'!$E$8))</x:f>
        <x:v>4</x:v>
      </x:c>
      <x:c r="H9" s="168" t="n">
        <x:f>D9*MIN(F9,'Assumptions'!$E$7)</x:f>
        <x:v>156640</x:v>
      </x:c>
      <x:c r="I9" s="1"/>
      <x:c r="J9" s="1"/>
      <x:c r="K9" s="1"/>
      <x:c r="L9" s="1"/>
      <x:c r="M9" s="1"/>
      <x:c r="N9" s="1"/>
      <x:c r="O9" s="1"/>
      <x:c r="P9" s="1"/>
      <x:c r="Q9" s="1"/>
      <x:c r="R9" s="1"/>
      <x:c r="S9" s="1"/>
      <x:c r="T9" s="1"/>
      <x:c r="U9" s="1"/>
      <x:c r="V9" s="1"/>
      <x:c r="W9" s="1"/>
      <x:c r="X9" s="1"/>
      <x:c r="Y9" s="1"/>
      <x:c r="Z9" s="1"/>
    </x:row>
    <x:row r="10">
      <x:c r="A10" s="109" t="str">
        <x:v>INV-005</x:v>
      </x:c>
      <x:c r="B10" s="109" t="str">
        <x:v>Customer E</x:v>
      </x:c>
      <x:c r="C10" s="109" t="str">
        <x:v>Central</x:v>
      </x:c>
      <x:c r="D10" s="166" t="n">
        <x:v>172000</x:v>
      </x:c>
      <x:c r="E10" s="109" t="n">
        <x:v>5</x:v>
      </x:c>
      <x:c r="F10" s="157" t="n">
        <x:v>0.98</x:v>
      </x:c>
      <x:c r="G10" s="119" t="n">
        <x:f>MAX(1,MIN(13,E10+'Assumptions'!$E$8))</x:f>
        <x:v>5</x:v>
      </x:c>
      <x:c r="H10" s="168" t="n">
        <x:f>D10*MIN(F10,'Assumptions'!$E$7)</x:f>
        <x:v>158240</x:v>
      </x:c>
      <x:c r="I10" s="1"/>
      <x:c r="J10" s="1"/>
      <x:c r="K10" s="1"/>
      <x:c r="L10" s="1"/>
      <x:c r="M10" s="1"/>
      <x:c r="N10" s="1"/>
      <x:c r="O10" s="1"/>
      <x:c r="P10" s="1"/>
      <x:c r="Q10" s="1"/>
      <x:c r="R10" s="1"/>
      <x:c r="S10" s="1"/>
      <x:c r="T10" s="1"/>
      <x:c r="U10" s="1"/>
      <x:c r="V10" s="1"/>
      <x:c r="W10" s="1"/>
      <x:c r="X10" s="1"/>
      <x:c r="Y10" s="1"/>
      <x:c r="Z10" s="1"/>
    </x:row>
    <x:row r="11">
      <x:c r="A11" s="109" t="str">
        <x:v>INV-006</x:v>
      </x:c>
      <x:c r="B11" s="109" t="str">
        <x:v>Customer F</x:v>
      </x:c>
      <x:c r="C11" s="109" t="str">
        <x:v>South</x:v>
      </x:c>
      <x:c r="D11" s="166" t="n">
        <x:v>167000</x:v>
      </x:c>
      <x:c r="E11" s="109" t="n">
        <x:v>6</x:v>
      </x:c>
      <x:c r="F11" s="157" t="n">
        <x:v>0.95</x:v>
      </x:c>
      <x:c r="G11" s="119" t="n">
        <x:f>MAX(1,MIN(13,E11+'Assumptions'!$E$8))</x:f>
        <x:v>6</x:v>
      </x:c>
      <x:c r="H11" s="168" t="n">
        <x:f>D11*MIN(F11,'Assumptions'!$E$7)</x:f>
        <x:v>153640</x:v>
      </x:c>
      <x:c r="I11" s="1"/>
      <x:c r="J11" s="1"/>
      <x:c r="K11" s="1"/>
      <x:c r="L11" s="1"/>
      <x:c r="M11" s="1"/>
      <x:c r="N11" s="1"/>
      <x:c r="O11" s="1"/>
      <x:c r="P11" s="1"/>
      <x:c r="Q11" s="1"/>
      <x:c r="R11" s="1"/>
      <x:c r="S11" s="1"/>
      <x:c r="T11" s="1"/>
      <x:c r="U11" s="1"/>
      <x:c r="V11" s="1"/>
      <x:c r="W11" s="1"/>
      <x:c r="X11" s="1"/>
      <x:c r="Y11" s="1"/>
      <x:c r="Z11" s="1"/>
    </x:row>
    <x:row r="12">
      <x:c r="A12" s="109" t="str">
        <x:v>INV-007</x:v>
      </x:c>
      <x:c r="B12" s="109" t="str">
        <x:v>Customer G</x:v>
      </x:c>
      <x:c r="C12" s="109" t="str">
        <x:v>North</x:v>
      </x:c>
      <x:c r="D12" s="166" t="n">
        <x:v>162000</x:v>
      </x:c>
      <x:c r="E12" s="109" t="n">
        <x:v>7</x:v>
      </x:c>
      <x:c r="F12" s="157" t="n">
        <x:v>0.92</x:v>
      </x:c>
      <x:c r="G12" s="119" t="n">
        <x:f>MAX(1,MIN(13,E12+'Assumptions'!$E$8))</x:f>
        <x:v>7</x:v>
      </x:c>
      <x:c r="H12" s="168" t="n">
        <x:f>D12*MIN(F12,'Assumptions'!$E$7)</x:f>
        <x:v>149040</x:v>
      </x:c>
      <x:c r="I12" s="1"/>
      <x:c r="J12" s="1"/>
      <x:c r="K12" s="1"/>
      <x:c r="L12" s="1"/>
      <x:c r="M12" s="1"/>
      <x:c r="N12" s="1"/>
      <x:c r="O12" s="1"/>
      <x:c r="P12" s="1"/>
      <x:c r="Q12" s="1"/>
      <x:c r="R12" s="1"/>
      <x:c r="S12" s="1"/>
      <x:c r="T12" s="1"/>
      <x:c r="U12" s="1"/>
      <x:c r="V12" s="1"/>
      <x:c r="W12" s="1"/>
      <x:c r="X12" s="1"/>
      <x:c r="Y12" s="1"/>
      <x:c r="Z12" s="1"/>
    </x:row>
    <x:row r="13">
      <x:c r="A13" s="109" t="str">
        <x:v>INV-008</x:v>
      </x:c>
      <x:c r="B13" s="109" t="str">
        <x:v>Customer H</x:v>
      </x:c>
      <x:c r="C13" s="109" t="str">
        <x:v>Central</x:v>
      </x:c>
      <x:c r="D13" s="166" t="n">
        <x:v>156000</x:v>
      </x:c>
      <x:c r="E13" s="109" t="n">
        <x:v>8</x:v>
      </x:c>
      <x:c r="F13" s="157" t="n">
        <x:v>0.88</x:v>
      </x:c>
      <x:c r="G13" s="119" t="n">
        <x:f>MAX(1,MIN(13,E13+'Assumptions'!$E$8))</x:f>
        <x:v>8</x:v>
      </x:c>
      <x:c r="H13" s="168" t="n">
        <x:f>D13*MIN(F13,'Assumptions'!$E$7)</x:f>
        <x:v>137280</x:v>
      </x:c>
      <x:c r="I13" s="1"/>
      <x:c r="J13" s="1"/>
      <x:c r="K13" s="1"/>
      <x:c r="L13" s="1"/>
      <x:c r="M13" s="1"/>
      <x:c r="N13" s="1"/>
      <x:c r="O13" s="1"/>
      <x:c r="P13" s="1"/>
      <x:c r="Q13" s="1"/>
      <x:c r="R13" s="1"/>
      <x:c r="S13" s="1"/>
      <x:c r="T13" s="1"/>
      <x:c r="U13" s="1"/>
      <x:c r="V13" s="1"/>
      <x:c r="W13" s="1"/>
      <x:c r="X13" s="1"/>
      <x:c r="Y13" s="1"/>
      <x:c r="Z13" s="1"/>
    </x:row>
    <x:row r="14">
      <x:c r="A14" s="109" t="str">
        <x:v>INV-009</x:v>
      </x:c>
      <x:c r="B14" s="109" t="str">
        <x:v>Customer I</x:v>
      </x:c>
      <x:c r="C14" s="109" t="str">
        <x:v>South</x:v>
      </x:c>
      <x:c r="D14" s="166" t="n">
        <x:v>151000</x:v>
      </x:c>
      <x:c r="E14" s="109" t="n">
        <x:v>9</x:v>
      </x:c>
      <x:c r="F14" s="157" t="n">
        <x:v>0.98</x:v>
      </x:c>
      <x:c r="G14" s="119" t="n">
        <x:f>MAX(1,MIN(13,E14+'Assumptions'!$E$8))</x:f>
        <x:v>9</x:v>
      </x:c>
      <x:c r="H14" s="168" t="n">
        <x:f>D14*MIN(F14,'Assumptions'!$E$7)</x:f>
        <x:v>138920</x:v>
      </x:c>
      <x:c r="I14" s="1"/>
      <x:c r="J14" s="1"/>
      <x:c r="K14" s="1"/>
      <x:c r="L14" s="1"/>
      <x:c r="M14" s="1"/>
      <x:c r="N14" s="1"/>
      <x:c r="O14" s="1"/>
      <x:c r="P14" s="1"/>
      <x:c r="Q14" s="1"/>
      <x:c r="R14" s="1"/>
      <x:c r="S14" s="1"/>
      <x:c r="T14" s="1"/>
      <x:c r="U14" s="1"/>
      <x:c r="V14" s="1"/>
      <x:c r="W14" s="1"/>
      <x:c r="X14" s="1"/>
      <x:c r="Y14" s="1"/>
      <x:c r="Z14" s="1"/>
    </x:row>
    <x:row r="15">
      <x:c r="A15" s="109" t="str">
        <x:v>INV-010</x:v>
      </x:c>
      <x:c r="B15" s="109" t="str">
        <x:v>Customer J</x:v>
      </x:c>
      <x:c r="C15" s="109" t="str">
        <x:v>North</x:v>
      </x:c>
      <x:c r="D15" s="166" t="n">
        <x:v>146000</x:v>
      </x:c>
      <x:c r="E15" s="109" t="n">
        <x:v>10</x:v>
      </x:c>
      <x:c r="F15" s="157" t="n">
        <x:v>0.95</x:v>
      </x:c>
      <x:c r="G15" s="119" t="n">
        <x:f>MAX(1,MIN(13,E15+'Assumptions'!$E$8))</x:f>
        <x:v>10</x:v>
      </x:c>
      <x:c r="H15" s="168" t="n">
        <x:f>D15*MIN(F15,'Assumptions'!$E$7)</x:f>
        <x:v>134320</x:v>
      </x:c>
      <x:c r="I15" s="1"/>
      <x:c r="J15" s="1"/>
      <x:c r="K15" s="1"/>
      <x:c r="L15" s="1"/>
      <x:c r="M15" s="1"/>
      <x:c r="N15" s="1"/>
      <x:c r="O15" s="1"/>
      <x:c r="P15" s="1"/>
      <x:c r="Q15" s="1"/>
      <x:c r="R15" s="1"/>
      <x:c r="S15" s="1"/>
      <x:c r="T15" s="1"/>
      <x:c r="U15" s="1"/>
      <x:c r="V15" s="1"/>
      <x:c r="W15" s="1"/>
      <x:c r="X15" s="1"/>
      <x:c r="Y15" s="1"/>
      <x:c r="Z15" s="1"/>
    </x:row>
    <x:row r="16">
      <x:c r="A16" s="109" t="str">
        <x:v>INV-011</x:v>
      </x:c>
      <x:c r="B16" s="109" t="str">
        <x:v>Customer K</x:v>
      </x:c>
      <x:c r="C16" s="109" t="str">
        <x:v>Central</x:v>
      </x:c>
      <x:c r="D16" s="166" t="n">
        <x:v>140000</x:v>
      </x:c>
      <x:c r="E16" s="109" t="n">
        <x:v>1</x:v>
      </x:c>
      <x:c r="F16" s="157" t="n">
        <x:v>0.92</x:v>
      </x:c>
      <x:c r="G16" s="119" t="n">
        <x:f>MAX(1,MIN(13,E16+'Assumptions'!$E$8))</x:f>
        <x:v>1</x:v>
      </x:c>
      <x:c r="H16" s="168" t="n">
        <x:f>D16*MIN(F16,'Assumptions'!$E$7)</x:f>
        <x:v>128800</x:v>
      </x:c>
      <x:c r="I16" s="1"/>
      <x:c r="J16" s="1"/>
      <x:c r="K16" s="1"/>
      <x:c r="L16" s="1"/>
      <x:c r="M16" s="1"/>
      <x:c r="N16" s="1"/>
      <x:c r="O16" s="1"/>
      <x:c r="P16" s="1"/>
      <x:c r="Q16" s="1"/>
      <x:c r="R16" s="1"/>
      <x:c r="S16" s="1"/>
      <x:c r="T16" s="1"/>
      <x:c r="U16" s="1"/>
      <x:c r="V16" s="1"/>
      <x:c r="W16" s="1"/>
      <x:c r="X16" s="1"/>
      <x:c r="Y16" s="1"/>
      <x:c r="Z16" s="1"/>
    </x:row>
    <x:row r="17">
      <x:c r="A17" s="109" t="str">
        <x:v>INV-012</x:v>
      </x:c>
      <x:c r="B17" s="109" t="str">
        <x:v>Customer L</x:v>
      </x:c>
      <x:c r="C17" s="109" t="str">
        <x:v>South</x:v>
      </x:c>
      <x:c r="D17" s="166" t="n">
        <x:v>135000</x:v>
      </x:c>
      <x:c r="E17" s="109" t="n">
        <x:v>2</x:v>
      </x:c>
      <x:c r="F17" s="157" t="n">
        <x:v>0.88</x:v>
      </x:c>
      <x:c r="G17" s="119" t="n">
        <x:f>MAX(1,MIN(13,E17+'Assumptions'!$E$8))</x:f>
        <x:v>2</x:v>
      </x:c>
      <x:c r="H17" s="168" t="n">
        <x:f>D17*MIN(F17,'Assumptions'!$E$7)</x:f>
        <x:v>118800</x:v>
      </x:c>
      <x:c r="I17" s="1"/>
      <x:c r="J17" s="1"/>
      <x:c r="K17" s="1"/>
      <x:c r="L17" s="1"/>
      <x:c r="M17" s="1"/>
      <x:c r="N17" s="1"/>
      <x:c r="O17" s="1"/>
      <x:c r="P17" s="1"/>
      <x:c r="Q17" s="1"/>
      <x:c r="R17" s="1"/>
      <x:c r="S17" s="1"/>
      <x:c r="T17" s="1"/>
      <x:c r="U17" s="1"/>
      <x:c r="V17" s="1"/>
      <x:c r="W17" s="1"/>
      <x:c r="X17" s="1"/>
      <x:c r="Y17" s="1"/>
      <x:c r="Z17" s="1"/>
    </x:row>
    <x:row r="18">
      <x:c r="A18" s="109" t="str">
        <x:v>INV-013</x:v>
      </x:c>
      <x:c r="B18" s="109" t="str">
        <x:v>Customer A</x:v>
      </x:c>
      <x:c r="C18" s="109" t="str">
        <x:v>North</x:v>
      </x:c>
      <x:c r="D18" s="166" t="n">
        <x:v>129000</x:v>
      </x:c>
      <x:c r="E18" s="109" t="n">
        <x:v>3</x:v>
      </x:c>
      <x:c r="F18" s="157" t="n">
        <x:v>0.98</x:v>
      </x:c>
      <x:c r="G18" s="119" t="n">
        <x:f>MAX(1,MIN(13,E18+'Assumptions'!$E$8))</x:f>
        <x:v>3</x:v>
      </x:c>
      <x:c r="H18" s="168" t="n">
        <x:f>D18*MIN(F18,'Assumptions'!$E$7)</x:f>
        <x:v>118680</x:v>
      </x:c>
      <x:c r="I18" s="1"/>
      <x:c r="J18" s="1"/>
      <x:c r="K18" s="1"/>
      <x:c r="L18" s="1"/>
      <x:c r="M18" s="1"/>
      <x:c r="N18" s="1"/>
      <x:c r="O18" s="1"/>
      <x:c r="P18" s="1"/>
      <x:c r="Q18" s="1"/>
      <x:c r="R18" s="1"/>
      <x:c r="S18" s="1"/>
      <x:c r="T18" s="1"/>
      <x:c r="U18" s="1"/>
      <x:c r="V18" s="1"/>
      <x:c r="W18" s="1"/>
      <x:c r="X18" s="1"/>
      <x:c r="Y18" s="1"/>
      <x:c r="Z18" s="1"/>
    </x:row>
    <x:row r="19">
      <x:c r="A19" s="109" t="str">
        <x:v>INV-014</x:v>
      </x:c>
      <x:c r="B19" s="109" t="str">
        <x:v>Customer B</x:v>
      </x:c>
      <x:c r="C19" s="109" t="str">
        <x:v>Central</x:v>
      </x:c>
      <x:c r="D19" s="166" t="n">
        <x:v>124000</x:v>
      </x:c>
      <x:c r="E19" s="109" t="n">
        <x:v>4</x:v>
      </x:c>
      <x:c r="F19" s="157" t="n">
        <x:v>0.95</x:v>
      </x:c>
      <x:c r="G19" s="119" t="n">
        <x:f>MAX(1,MIN(13,E19+'Assumptions'!$E$8))</x:f>
        <x:v>4</x:v>
      </x:c>
      <x:c r="H19" s="168" t="n">
        <x:f>D19*MIN(F19,'Assumptions'!$E$7)</x:f>
        <x:v>114080</x:v>
      </x:c>
      <x:c r="I19" s="1"/>
      <x:c r="J19" s="1"/>
      <x:c r="K19" s="1"/>
      <x:c r="L19" s="1"/>
      <x:c r="M19" s="1"/>
      <x:c r="N19" s="1"/>
      <x:c r="O19" s="1"/>
      <x:c r="P19" s="1"/>
      <x:c r="Q19" s="1"/>
      <x:c r="R19" s="1"/>
      <x:c r="S19" s="1"/>
      <x:c r="T19" s="1"/>
      <x:c r="U19" s="1"/>
      <x:c r="V19" s="1"/>
      <x:c r="W19" s="1"/>
      <x:c r="X19" s="1"/>
      <x:c r="Y19" s="1"/>
      <x:c r="Z19" s="1"/>
    </x:row>
    <x:row r="20">
      <x:c r="A20" s="109" t="str">
        <x:v>INV-015</x:v>
      </x:c>
      <x:c r="B20" s="109" t="str">
        <x:v>Customer C</x:v>
      </x:c>
      <x:c r="C20" s="109" t="str">
        <x:v>South</x:v>
      </x:c>
      <x:c r="D20" s="166" t="n">
        <x:v>119000</x:v>
      </x:c>
      <x:c r="E20" s="109" t="n">
        <x:v>5</x:v>
      </x:c>
      <x:c r="F20" s="157" t="n">
        <x:v>0.92</x:v>
      </x:c>
      <x:c r="G20" s="119" t="n">
        <x:f>MAX(1,MIN(13,E20+'Assumptions'!$E$8))</x:f>
        <x:v>5</x:v>
      </x:c>
      <x:c r="H20" s="168" t="n">
        <x:f>D20*MIN(F20,'Assumptions'!$E$7)</x:f>
        <x:v>109480</x:v>
      </x:c>
      <x:c r="I20" s="1"/>
      <x:c r="J20" s="1"/>
      <x:c r="K20" s="1"/>
      <x:c r="L20" s="1"/>
      <x:c r="M20" s="1"/>
      <x:c r="N20" s="1"/>
      <x:c r="O20" s="1"/>
      <x:c r="P20" s="1"/>
      <x:c r="Q20" s="1"/>
      <x:c r="R20" s="1"/>
      <x:c r="S20" s="1"/>
      <x:c r="T20" s="1"/>
      <x:c r="U20" s="1"/>
      <x:c r="V20" s="1"/>
      <x:c r="W20" s="1"/>
      <x:c r="X20" s="1"/>
      <x:c r="Y20" s="1"/>
      <x:c r="Z20" s="1"/>
    </x:row>
    <x:row r="21">
      <x:c r="A21" s="109" t="str">
        <x:v>INV-016</x:v>
      </x:c>
      <x:c r="B21" s="109" t="str">
        <x:v>Customer D</x:v>
      </x:c>
      <x:c r="C21" s="109" t="str">
        <x:v>North</x:v>
      </x:c>
      <x:c r="D21" s="166" t="n">
        <x:v>113000</x:v>
      </x:c>
      <x:c r="E21" s="109" t="n">
        <x:v>6</x:v>
      </x:c>
      <x:c r="F21" s="157" t="n">
        <x:v>0.88</x:v>
      </x:c>
      <x:c r="G21" s="119" t="n">
        <x:f>MAX(1,MIN(13,E21+'Assumptions'!$E$8))</x:f>
        <x:v>6</x:v>
      </x:c>
      <x:c r="H21" s="168" t="n">
        <x:f>D21*MIN(F21,'Assumptions'!$E$7)</x:f>
        <x:v>99440</x:v>
      </x:c>
      <x:c r="I21" s="1"/>
      <x:c r="J21" s="1"/>
      <x:c r="K21" s="1"/>
      <x:c r="L21" s="1"/>
      <x:c r="M21" s="1"/>
      <x:c r="N21" s="1"/>
      <x:c r="O21" s="1"/>
      <x:c r="P21" s="1"/>
      <x:c r="Q21" s="1"/>
      <x:c r="R21" s="1"/>
      <x:c r="S21" s="1"/>
      <x:c r="T21" s="1"/>
      <x:c r="U21" s="1"/>
      <x:c r="V21" s="1"/>
      <x:c r="W21" s="1"/>
      <x:c r="X21" s="1"/>
      <x:c r="Y21" s="1"/>
      <x:c r="Z21" s="1"/>
    </x:row>
    <x:row r="22">
      <x:c r="A22" s="109" t="str">
        <x:v>INV-017</x:v>
      </x:c>
      <x:c r="B22" s="109" t="str">
        <x:v>Customer E</x:v>
      </x:c>
      <x:c r="C22" s="109" t="str">
        <x:v>Central</x:v>
      </x:c>
      <x:c r="D22" s="166" t="n">
        <x:v>108000</x:v>
      </x:c>
      <x:c r="E22" s="109" t="n">
        <x:v>7</x:v>
      </x:c>
      <x:c r="F22" s="157" t="n">
        <x:v>0.98</x:v>
      </x:c>
      <x:c r="G22" s="119" t="n">
        <x:f>MAX(1,MIN(13,E22+'Assumptions'!$E$8))</x:f>
        <x:v>7</x:v>
      </x:c>
      <x:c r="H22" s="168" t="n">
        <x:f>D22*MIN(F22,'Assumptions'!$E$7)</x:f>
        <x:v>99360</x:v>
      </x:c>
      <x:c r="I22" s="1"/>
      <x:c r="J22" s="1"/>
      <x:c r="K22" s="1"/>
      <x:c r="L22" s="1"/>
      <x:c r="M22" s="1"/>
      <x:c r="N22" s="1"/>
      <x:c r="O22" s="1"/>
      <x:c r="P22" s="1"/>
      <x:c r="Q22" s="1"/>
      <x:c r="R22" s="1"/>
      <x:c r="S22" s="1"/>
      <x:c r="T22" s="1"/>
      <x:c r="U22" s="1"/>
      <x:c r="V22" s="1"/>
      <x:c r="W22" s="1"/>
      <x:c r="X22" s="1"/>
      <x:c r="Y22" s="1"/>
      <x:c r="Z22" s="1"/>
    </x:row>
    <x:row r="23">
      <x:c r="A23" s="109" t="str">
        <x:v>INV-018</x:v>
      </x:c>
      <x:c r="B23" s="109" t="str">
        <x:v>Customer F</x:v>
      </x:c>
      <x:c r="C23" s="109" t="str">
        <x:v>South</x:v>
      </x:c>
      <x:c r="D23" s="166" t="n">
        <x:v>102000</x:v>
      </x:c>
      <x:c r="E23" s="109" t="n">
        <x:v>8</x:v>
      </x:c>
      <x:c r="F23" s="157" t="n">
        <x:v>0.95</x:v>
      </x:c>
      <x:c r="G23" s="119" t="n">
        <x:f>MAX(1,MIN(13,E23+'Assumptions'!$E$8))</x:f>
        <x:v>8</x:v>
      </x:c>
      <x:c r="H23" s="168" t="n">
        <x:f>D23*MIN(F23,'Assumptions'!$E$7)</x:f>
        <x:v>93840</x:v>
      </x:c>
      <x:c r="I23" s="1"/>
      <x:c r="J23" s="1"/>
      <x:c r="K23" s="1"/>
      <x:c r="L23" s="1"/>
      <x:c r="M23" s="1"/>
      <x:c r="N23" s="1"/>
      <x:c r="O23" s="1"/>
      <x:c r="P23" s="1"/>
      <x:c r="Q23" s="1"/>
      <x:c r="R23" s="1"/>
      <x:c r="S23" s="1"/>
      <x:c r="T23" s="1"/>
      <x:c r="U23" s="1"/>
      <x:c r="V23" s="1"/>
      <x:c r="W23" s="1"/>
      <x:c r="X23" s="1"/>
      <x:c r="Y23" s="1"/>
      <x:c r="Z23" s="1"/>
    </x:row>
    <x:row r="24">
      <x:c r="A24" s="109" t="str">
        <x:v>INV-019</x:v>
      </x:c>
      <x:c r="B24" s="109" t="str">
        <x:v>Customer G</x:v>
      </x:c>
      <x:c r="C24" s="109" t="str">
        <x:v>North</x:v>
      </x:c>
      <x:c r="D24" s="166" t="n">
        <x:v>97000</x:v>
      </x:c>
      <x:c r="E24" s="109" t="n">
        <x:v>9</x:v>
      </x:c>
      <x:c r="F24" s="157" t="n">
        <x:v>0.92</x:v>
      </x:c>
      <x:c r="G24" s="119" t="n">
        <x:f>MAX(1,MIN(13,E24+'Assumptions'!$E$8))</x:f>
        <x:v>9</x:v>
      </x:c>
      <x:c r="H24" s="168" t="n">
        <x:f>D24*MIN(F24,'Assumptions'!$E$7)</x:f>
        <x:v>89240</x:v>
      </x:c>
      <x:c r="I24" s="1"/>
      <x:c r="J24" s="1"/>
      <x:c r="K24" s="1"/>
      <x:c r="L24" s="1"/>
      <x:c r="M24" s="1"/>
      <x:c r="N24" s="1"/>
      <x:c r="O24" s="1"/>
      <x:c r="P24" s="1"/>
      <x:c r="Q24" s="1"/>
      <x:c r="R24" s="1"/>
      <x:c r="S24" s="1"/>
      <x:c r="T24" s="1"/>
      <x:c r="U24" s="1"/>
      <x:c r="V24" s="1"/>
      <x:c r="W24" s="1"/>
      <x:c r="X24" s="1"/>
      <x:c r="Y24" s="1"/>
      <x:c r="Z24" s="1"/>
    </x:row>
    <x:row r="25">
      <x:c r="A25" s="109" t="str">
        <x:v>INV-020</x:v>
      </x:c>
      <x:c r="B25" s="109" t="str">
        <x:v>Customer H</x:v>
      </x:c>
      <x:c r="C25" s="109" t="str">
        <x:v>Central</x:v>
      </x:c>
      <x:c r="D25" s="166" t="n">
        <x:v>92000</x:v>
      </x:c>
      <x:c r="E25" s="109" t="n">
        <x:v>10</x:v>
      </x:c>
      <x:c r="F25" s="157" t="n">
        <x:v>0.88</x:v>
      </x:c>
      <x:c r="G25" s="119" t="n">
        <x:f>MAX(1,MIN(13,E25+'Assumptions'!$E$8))</x:f>
        <x:v>10</x:v>
      </x:c>
      <x:c r="H25" s="168" t="n">
        <x:f>D25*MIN(F25,'Assumptions'!$E$7)</x:f>
        <x:v>80960</x:v>
      </x:c>
      <x:c r="I25" s="1"/>
      <x:c r="J25" s="1"/>
      <x:c r="K25" s="1"/>
      <x:c r="L25" s="1"/>
      <x:c r="M25" s="1"/>
      <x:c r="N25" s="1"/>
      <x:c r="O25" s="1"/>
      <x:c r="P25" s="1"/>
      <x:c r="Q25" s="1"/>
      <x:c r="R25" s="1"/>
      <x:c r="S25" s="1"/>
      <x:c r="T25" s="1"/>
      <x:c r="U25" s="1"/>
      <x:c r="V25" s="1"/>
      <x:c r="W25" s="1"/>
      <x:c r="X25" s="1"/>
      <x:c r="Y25" s="1"/>
      <x:c r="Z25" s="1"/>
    </x:row>
    <x:row r="26">
      <x:c r="A26" s="109" t="str">
        <x:v>INV-021</x:v>
      </x:c>
      <x:c r="B26" s="109" t="str">
        <x:v>Customer I</x:v>
      </x:c>
      <x:c r="C26" s="109" t="str">
        <x:v>South</x:v>
      </x:c>
      <x:c r="D26" s="166" t="n">
        <x:v>86000</x:v>
      </x:c>
      <x:c r="E26" s="109" t="n">
        <x:v>1</x:v>
      </x:c>
      <x:c r="F26" s="157" t="n">
        <x:v>0.98</x:v>
      </x:c>
      <x:c r="G26" s="119" t="n">
        <x:f>MAX(1,MIN(13,E26+'Assumptions'!$E$8))</x:f>
        <x:v>1</x:v>
      </x:c>
      <x:c r="H26" s="168" t="n">
        <x:f>D26*MIN(F26,'Assumptions'!$E$7)</x:f>
        <x:v>79120</x:v>
      </x:c>
      <x:c r="I26" s="1"/>
      <x:c r="J26" s="1"/>
      <x:c r="K26" s="1"/>
      <x:c r="L26" s="1"/>
      <x:c r="M26" s="1"/>
      <x:c r="N26" s="1"/>
      <x:c r="O26" s="1"/>
      <x:c r="P26" s="1"/>
      <x:c r="Q26" s="1"/>
      <x:c r="R26" s="1"/>
      <x:c r="S26" s="1"/>
      <x:c r="T26" s="1"/>
      <x:c r="U26" s="1"/>
      <x:c r="V26" s="1"/>
      <x:c r="W26" s="1"/>
      <x:c r="X26" s="1"/>
      <x:c r="Y26" s="1"/>
      <x:c r="Z26" s="1"/>
    </x:row>
    <x:row r="27">
      <x:c r="A27" s="109" t="str">
        <x:v>INV-022</x:v>
      </x:c>
      <x:c r="B27" s="109" t="str">
        <x:v>Customer J</x:v>
      </x:c>
      <x:c r="C27" s="109" t="str">
        <x:v>North</x:v>
      </x:c>
      <x:c r="D27" s="166" t="n">
        <x:v>81000</x:v>
      </x:c>
      <x:c r="E27" s="109" t="n">
        <x:v>2</x:v>
      </x:c>
      <x:c r="F27" s="157" t="n">
        <x:v>0.95</x:v>
      </x:c>
      <x:c r="G27" s="119" t="n">
        <x:f>MAX(1,MIN(13,E27+'Assumptions'!$E$8))</x:f>
        <x:v>2</x:v>
      </x:c>
      <x:c r="H27" s="168" t="n">
        <x:f>D27*MIN(F27,'Assumptions'!$E$7)</x:f>
        <x:v>74520</x:v>
      </x:c>
      <x:c r="I27" s="1"/>
      <x:c r="J27" s="1"/>
      <x:c r="K27" s="1"/>
      <x:c r="L27" s="1"/>
      <x:c r="M27" s="1"/>
      <x:c r="N27" s="1"/>
      <x:c r="O27" s="1"/>
      <x:c r="P27" s="1"/>
      <x:c r="Q27" s="1"/>
      <x:c r="R27" s="1"/>
      <x:c r="S27" s="1"/>
      <x:c r="T27" s="1"/>
      <x:c r="U27" s="1"/>
      <x:c r="V27" s="1"/>
      <x:c r="W27" s="1"/>
      <x:c r="X27" s="1"/>
      <x:c r="Y27" s="1"/>
      <x:c r="Z27" s="1"/>
    </x:row>
    <x:row r="28">
      <x:c r="A28" s="109" t="str">
        <x:v>INV-023</x:v>
      </x:c>
      <x:c r="B28" s="109" t="str">
        <x:v>Customer K</x:v>
      </x:c>
      <x:c r="C28" s="109" t="str">
        <x:v>Central</x:v>
      </x:c>
      <x:c r="D28" s="166" t="n">
        <x:v>75000</x:v>
      </x:c>
      <x:c r="E28" s="109" t="n">
        <x:v>3</x:v>
      </x:c>
      <x:c r="F28" s="157" t="n">
        <x:v>0.92</x:v>
      </x:c>
      <x:c r="G28" s="119" t="n">
        <x:f>MAX(1,MIN(13,E28+'Assumptions'!$E$8))</x:f>
        <x:v>3</x:v>
      </x:c>
      <x:c r="H28" s="168" t="n">
        <x:f>D28*MIN(F28,'Assumptions'!$E$7)</x:f>
        <x:v>69000</x:v>
      </x:c>
      <x:c r="I28" s="1"/>
      <x:c r="J28" s="1"/>
      <x:c r="K28" s="1"/>
      <x:c r="L28" s="1"/>
      <x:c r="M28" s="1"/>
      <x:c r="N28" s="1"/>
      <x:c r="O28" s="1"/>
      <x:c r="P28" s="1"/>
      <x:c r="Q28" s="1"/>
      <x:c r="R28" s="1"/>
      <x:c r="S28" s="1"/>
      <x:c r="T28" s="1"/>
      <x:c r="U28" s="1"/>
      <x:c r="V28" s="1"/>
      <x:c r="W28" s="1"/>
      <x:c r="X28" s="1"/>
      <x:c r="Y28" s="1"/>
      <x:c r="Z28" s="1"/>
    </x:row>
    <x:row r="29">
      <x:c r="A29" s="109" t="str">
        <x:v>INV-024</x:v>
      </x:c>
      <x:c r="B29" s="109" t="str">
        <x:v>Customer L</x:v>
      </x:c>
      <x:c r="C29" s="109" t="str">
        <x:v>South</x:v>
      </x:c>
      <x:c r="D29" s="166" t="n">
        <x:v>70000</x:v>
      </x:c>
      <x:c r="E29" s="109" t="n">
        <x:v>4</x:v>
      </x:c>
      <x:c r="F29" s="157" t="n">
        <x:v>0.88</x:v>
      </x:c>
      <x:c r="G29" s="119" t="n">
        <x:f>MAX(1,MIN(13,E29+'Assumptions'!$E$8))</x:f>
        <x:v>4</x:v>
      </x:c>
      <x:c r="H29" s="168" t="n">
        <x:f>D29*MIN(F29,'Assumptions'!$E$7)</x:f>
        <x:v>61600</x:v>
      </x:c>
      <x:c r="I29" s="1"/>
      <x:c r="J29" s="1"/>
      <x:c r="K29" s="1"/>
      <x:c r="L29" s="1"/>
      <x:c r="M29" s="1"/>
      <x:c r="N29" s="1"/>
      <x:c r="O29" s="1"/>
      <x:c r="P29" s="1"/>
      <x:c r="Q29" s="1"/>
      <x:c r="R29" s="1"/>
      <x:c r="S29" s="1"/>
      <x:c r="T29" s="1"/>
      <x:c r="U29" s="1"/>
      <x:c r="V29" s="1"/>
      <x:c r="W29" s="1"/>
      <x:c r="X29" s="1"/>
      <x:c r="Y29" s="1"/>
      <x:c r="Z29" s="1"/>
    </x:row>
    <x:row r="30">
      <x:c r="A30" s="109" t="str">
        <x:v>INV-025</x:v>
      </x:c>
      <x:c r="B30" s="109" t="str">
        <x:v>Customer A</x:v>
      </x:c>
      <x:c r="C30" s="109" t="str">
        <x:v>North</x:v>
      </x:c>
      <x:c r="D30" s="166" t="n">
        <x:v>65000</x:v>
      </x:c>
      <x:c r="E30" s="109" t="n">
        <x:v>5</x:v>
      </x:c>
      <x:c r="F30" s="157" t="n">
        <x:v>0.98</x:v>
      </x:c>
      <x:c r="G30" s="119" t="n">
        <x:f>MAX(1,MIN(13,E30+'Assumptions'!$E$8))</x:f>
        <x:v>5</x:v>
      </x:c>
      <x:c r="H30" s="168" t="n">
        <x:f>D30*MIN(F30,'Assumptions'!$E$7)</x:f>
        <x:v>59800</x:v>
      </x:c>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72" t="str">
        <x:v>TOTAL OPENING AR</x:v>
      </x:c>
      <x:c r="B32" s="173"/>
      <x:c r="C32" s="173"/>
      <x:c r="D32" s="173" t="n">
        <x:f>SUM(D6:D30)</x:f>
        <x:v>3250000</x:v>
      </x:c>
      <x:c r="E32" s="173"/>
      <x:c r="F32" s="173" t="str">
        <x:v>EXPECTED COLLECTION</x:v>
      </x:c>
      <x:c r="G32" s="173"/>
      <x:c r="H32" s="174" t="n">
        <x:f>SUM(H6:H30)</x:f>
        <x:v>2960240</x:v>
      </x:c>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sheetData>
  <x:mergeCells>
    <x:mergeCell ref="A1:H2"/>
    <x:mergeCell ref="A3:H3"/>
    <x:mergeCell ref="A32:C32"/>
    <x:mergeCell ref="F32:G3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8" hidden="0" customWidth="1"/>
    <x:col min="4" max="4" width="16" hidden="0" customWidth="1"/>
    <x:col min="5" max="5" width="12" hidden="0" customWidth="1"/>
    <x:col min="6" max="6" width="12" hidden="0" customWidth="1"/>
    <x:col min="7" max="7" width="16" hidden="0" customWidth="1"/>
    <x:col min="8" max="8" width="20" hidden="0" customWidth="1"/>
  </x:cols>
  <x:sheetData>
    <x:row r="1" ht="25" customHeight="1">
      <x:c r="A1" s="4" t="str">
        <x:v>ACCOUNTS PAYABLE PAYMENT PLAN</x:v>
      </x:c>
      <x:c r="B1" s="4"/>
      <x:c r="C1" s="4"/>
      <x:c r="D1" s="4"/>
      <x:c r="E1" s="4"/>
      <x:c r="F1" s="4"/>
      <x:c r="G1" s="4"/>
      <x:c r="H1" s="4"/>
      <x:c r="I1" s="1"/>
      <x:c r="J1" s="1"/>
      <x:c r="K1" s="1"/>
      <x:c r="L1" s="1"/>
      <x:c r="M1" s="1"/>
      <x:c r="N1" s="1"/>
      <x:c r="O1" s="1"/>
      <x:c r="P1" s="1"/>
      <x:c r="Q1" s="1"/>
      <x:c r="R1" s="1"/>
      <x:c r="S1" s="1"/>
      <x:c r="T1" s="1"/>
      <x:c r="U1" s="1"/>
      <x:c r="V1" s="1"/>
      <x:c r="W1" s="1"/>
      <x:c r="X1" s="1"/>
      <x:c r="Y1" s="1"/>
      <x:c r="Z1" s="1"/>
    </x:row>
    <x:row r="2" ht="25" customHeight="1">
      <x:c r="A2" s="4"/>
      <x:c r="B2" s="4"/>
      <x:c r="C2" s="4"/>
      <x:c r="D2" s="4"/>
      <x:c r="E2" s="4"/>
      <x:c r="F2" s="4"/>
      <x:c r="G2" s="4"/>
      <x:c r="H2" s="4"/>
      <x:c r="I2" s="1"/>
      <x:c r="J2" s="1"/>
      <x:c r="K2" s="1"/>
      <x:c r="L2" s="1"/>
      <x:c r="M2" s="1"/>
      <x:c r="N2" s="1"/>
      <x:c r="O2" s="1"/>
      <x:c r="P2" s="1"/>
      <x:c r="Q2" s="1"/>
      <x:c r="R2" s="1"/>
      <x:c r="S2" s="1"/>
      <x:c r="T2" s="1"/>
      <x:c r="U2" s="1"/>
      <x:c r="V2" s="1"/>
      <x:c r="W2" s="1"/>
      <x:c r="X2" s="1"/>
      <x:c r="Y2" s="1"/>
      <x:c r="Z2" s="1"/>
    </x:row>
    <x:row r="3" ht="25" customHeight="1">
      <x:c r="A3" s="7" t="str">
        <x:v>Opening payables by vendor · Critical suppliers remain protected in every scenario</x:v>
      </x:c>
      <x:c r="B3" s="7"/>
      <x:c r="C3" s="7"/>
      <x:c r="D3" s="7"/>
      <x:c r="E3" s="7"/>
      <x:c r="F3" s="7"/>
      <x:c r="G3" s="7"/>
      <x:c r="H3" s="7"/>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155" t="str">
        <x:v>Bill ID</x:v>
      </x:c>
      <x:c r="B5" s="155" t="str">
        <x:v>Vendor</x:v>
      </x:c>
      <x:c r="C5" s="155" t="str">
        <x:v>Category</x:v>
      </x:c>
      <x:c r="D5" s="155" t="str">
        <x:v>Balance</x:v>
      </x:c>
      <x:c r="E5" s="155" t="str">
        <x:v>Due week</x:v>
      </x:c>
      <x:c r="F5" s="155" t="str">
        <x:v>Critical?</x:v>
      </x:c>
      <x:c r="G5" s="155" t="str">
        <x:v>Scheduled week</x:v>
      </x:c>
      <x:c r="H5" s="155" t="str">
        <x:v>Expected cash payment</x:v>
      </x:c>
      <x:c r="I5" s="1"/>
      <x:c r="J5" s="1"/>
      <x:c r="K5" s="1"/>
      <x:c r="L5" s="1"/>
      <x:c r="M5" s="1"/>
      <x:c r="N5" s="1"/>
      <x:c r="O5" s="1"/>
      <x:c r="P5" s="1"/>
      <x:c r="Q5" s="1"/>
      <x:c r="R5" s="1"/>
      <x:c r="S5" s="1"/>
      <x:c r="T5" s="1"/>
      <x:c r="U5" s="1"/>
      <x:c r="V5" s="1"/>
      <x:c r="W5" s="1"/>
      <x:c r="X5" s="1"/>
      <x:c r="Y5" s="1"/>
      <x:c r="Z5" s="1"/>
    </x:row>
    <x:row r="6">
      <x:c r="A6" s="108" t="str">
        <x:v>BILL-001</x:v>
      </x:c>
      <x:c r="B6" s="108" t="str">
        <x:v>Vendor A</x:v>
      </x:c>
      <x:c r="C6" s="108" t="str">
        <x:v>Inventory</x:v>
      </x:c>
      <x:c r="D6" s="165" t="n">
        <x:v>159000</x:v>
      </x:c>
      <x:c r="E6" s="108" t="n">
        <x:v>1</x:v>
      </x:c>
      <x:c r="F6" s="108" t="str">
        <x:v>Yes</x:v>
      </x:c>
      <x:c r="G6" s="118" t="n">
        <x:f>E6</x:f>
        <x:v>1</x:v>
      </x:c>
      <x:c r="H6" s="167" t="n">
        <x:f>D6*IF(F6="Yes",1,'Assumptions'!$E$9)</x:f>
        <x:v>159000</x:v>
      </x:c>
      <x:c r="I6" s="1"/>
      <x:c r="J6" s="1"/>
      <x:c r="K6" s="1"/>
      <x:c r="L6" s="1"/>
      <x:c r="M6" s="1"/>
      <x:c r="N6" s="1"/>
      <x:c r="O6" s="1"/>
      <x:c r="P6" s="1"/>
      <x:c r="Q6" s="1"/>
      <x:c r="R6" s="1"/>
      <x:c r="S6" s="1"/>
      <x:c r="T6" s="1"/>
      <x:c r="U6" s="1"/>
      <x:c r="V6" s="1"/>
      <x:c r="W6" s="1"/>
      <x:c r="X6" s="1"/>
      <x:c r="Y6" s="1"/>
      <x:c r="Z6" s="1"/>
    </x:row>
    <x:row r="7">
      <x:c r="A7" s="109" t="str">
        <x:v>BILL-002</x:v>
      </x:c>
      <x:c r="B7" s="109" t="str">
        <x:v>Vendor B</x:v>
      </x:c>
      <x:c r="C7" s="109" t="str">
        <x:v>Freight</x:v>
      </x:c>
      <x:c r="D7" s="166" t="n">
        <x:v>150000</x:v>
      </x:c>
      <x:c r="E7" s="109" t="n">
        <x:v>2</x:v>
      </x:c>
      <x:c r="F7" s="109" t="str">
        <x:v>No</x:v>
      </x:c>
      <x:c r="G7" s="119" t="n">
        <x:f>E7</x:f>
        <x:v>2</x:v>
      </x:c>
      <x:c r="H7" s="168" t="n">
        <x:f>D7*IF(F7="Yes",1,'Assumptions'!$E$9)</x:f>
        <x:v>142500</x:v>
      </x:c>
      <x:c r="I7" s="1"/>
      <x:c r="J7" s="1"/>
      <x:c r="K7" s="1"/>
      <x:c r="L7" s="1"/>
      <x:c r="M7" s="1"/>
      <x:c r="N7" s="1"/>
      <x:c r="O7" s="1"/>
      <x:c r="P7" s="1"/>
      <x:c r="Q7" s="1"/>
      <x:c r="R7" s="1"/>
      <x:c r="S7" s="1"/>
      <x:c r="T7" s="1"/>
      <x:c r="U7" s="1"/>
      <x:c r="V7" s="1"/>
      <x:c r="W7" s="1"/>
      <x:c r="X7" s="1"/>
      <x:c r="Y7" s="1"/>
      <x:c r="Z7" s="1"/>
    </x:row>
    <x:row r="8">
      <x:c r="A8" s="109" t="str">
        <x:v>BILL-003</x:v>
      </x:c>
      <x:c r="B8" s="109" t="str">
        <x:v>Vendor C</x:v>
      </x:c>
      <x:c r="C8" s="109" t="str">
        <x:v>Services</x:v>
      </x:c>
      <x:c r="D8" s="166" t="n">
        <x:v>141000</x:v>
      </x:c>
      <x:c r="E8" s="109" t="n">
        <x:v>3</x:v>
      </x:c>
      <x:c r="F8" s="109" t="str">
        <x:v>No</x:v>
      </x:c>
      <x:c r="G8" s="119" t="n">
        <x:f>E8</x:f>
        <x:v>3</x:v>
      </x:c>
      <x:c r="H8" s="168" t="n">
        <x:f>D8*IF(F8="Yes",1,'Assumptions'!$E$9)</x:f>
        <x:v>133950</x:v>
      </x:c>
      <x:c r="I8" s="1"/>
      <x:c r="J8" s="1"/>
      <x:c r="K8" s="1"/>
      <x:c r="L8" s="1"/>
      <x:c r="M8" s="1"/>
      <x:c r="N8" s="1"/>
      <x:c r="O8" s="1"/>
      <x:c r="P8" s="1"/>
      <x:c r="Q8" s="1"/>
      <x:c r="R8" s="1"/>
      <x:c r="S8" s="1"/>
      <x:c r="T8" s="1"/>
      <x:c r="U8" s="1"/>
      <x:c r="V8" s="1"/>
      <x:c r="W8" s="1"/>
      <x:c r="X8" s="1"/>
      <x:c r="Y8" s="1"/>
      <x:c r="Z8" s="1"/>
    </x:row>
    <x:row r="9">
      <x:c r="A9" s="109" t="str">
        <x:v>BILL-004</x:v>
      </x:c>
      <x:c r="B9" s="109" t="str">
        <x:v>Vendor D</x:v>
      </x:c>
      <x:c r="C9" s="109" t="str">
        <x:v>Facilities</x:v>
      </x:c>
      <x:c r="D9" s="166" t="n">
        <x:v>132000</x:v>
      </x:c>
      <x:c r="E9" s="109" t="n">
        <x:v>4</x:v>
      </x:c>
      <x:c r="F9" s="109" t="str">
        <x:v>No</x:v>
      </x:c>
      <x:c r="G9" s="119" t="n">
        <x:f>E9</x:f>
        <x:v>4</x:v>
      </x:c>
      <x:c r="H9" s="168" t="n">
        <x:f>D9*IF(F9="Yes",1,'Assumptions'!$E$9)</x:f>
        <x:v>125400</x:v>
      </x:c>
      <x:c r="I9" s="1"/>
      <x:c r="J9" s="1"/>
      <x:c r="K9" s="1"/>
      <x:c r="L9" s="1"/>
      <x:c r="M9" s="1"/>
      <x:c r="N9" s="1"/>
      <x:c r="O9" s="1"/>
      <x:c r="P9" s="1"/>
      <x:c r="Q9" s="1"/>
      <x:c r="R9" s="1"/>
      <x:c r="S9" s="1"/>
      <x:c r="T9" s="1"/>
      <x:c r="U9" s="1"/>
      <x:c r="V9" s="1"/>
      <x:c r="W9" s="1"/>
      <x:c r="X9" s="1"/>
      <x:c r="Y9" s="1"/>
      <x:c r="Z9" s="1"/>
    </x:row>
    <x:row r="10">
      <x:c r="A10" s="109" t="str">
        <x:v>BILL-005</x:v>
      </x:c>
      <x:c r="B10" s="109" t="str">
        <x:v>Vendor E</x:v>
      </x:c>
      <x:c r="C10" s="109" t="str">
        <x:v>Inventory</x:v>
      </x:c>
      <x:c r="D10" s="166" t="n">
        <x:v>128000</x:v>
      </x:c>
      <x:c r="E10" s="109" t="n">
        <x:v>5</x:v>
      </x:c>
      <x:c r="F10" s="109" t="str">
        <x:v>No</x:v>
      </x:c>
      <x:c r="G10" s="119" t="n">
        <x:f>E10</x:f>
        <x:v>5</x:v>
      </x:c>
      <x:c r="H10" s="168" t="n">
        <x:f>D10*IF(F10="Yes",1,'Assumptions'!$E$9)</x:f>
        <x:v>121600</x:v>
      </x:c>
      <x:c r="I10" s="1"/>
      <x:c r="J10" s="1"/>
      <x:c r="K10" s="1"/>
      <x:c r="L10" s="1"/>
      <x:c r="M10" s="1"/>
      <x:c r="N10" s="1"/>
      <x:c r="O10" s="1"/>
      <x:c r="P10" s="1"/>
      <x:c r="Q10" s="1"/>
      <x:c r="R10" s="1"/>
      <x:c r="S10" s="1"/>
      <x:c r="T10" s="1"/>
      <x:c r="U10" s="1"/>
      <x:c r="V10" s="1"/>
      <x:c r="W10" s="1"/>
      <x:c r="X10" s="1"/>
      <x:c r="Y10" s="1"/>
      <x:c r="Z10" s="1"/>
    </x:row>
    <x:row r="11">
      <x:c r="A11" s="109" t="str">
        <x:v>BILL-006</x:v>
      </x:c>
      <x:c r="B11" s="109" t="str">
        <x:v>Vendor F</x:v>
      </x:c>
      <x:c r="C11" s="109" t="str">
        <x:v>Freight</x:v>
      </x:c>
      <x:c r="D11" s="166" t="n">
        <x:v>124000</x:v>
      </x:c>
      <x:c r="E11" s="109" t="n">
        <x:v>6</x:v>
      </x:c>
      <x:c r="F11" s="109" t="str">
        <x:v>Yes</x:v>
      </x:c>
      <x:c r="G11" s="119" t="n">
        <x:f>E11</x:f>
        <x:v>6</x:v>
      </x:c>
      <x:c r="H11" s="168" t="n">
        <x:f>D11*IF(F11="Yes",1,'Assumptions'!$E$9)</x:f>
        <x:v>124000</x:v>
      </x:c>
      <x:c r="I11" s="1"/>
      <x:c r="J11" s="1"/>
      <x:c r="K11" s="1"/>
      <x:c r="L11" s="1"/>
      <x:c r="M11" s="1"/>
      <x:c r="N11" s="1"/>
      <x:c r="O11" s="1"/>
      <x:c r="P11" s="1"/>
      <x:c r="Q11" s="1"/>
      <x:c r="R11" s="1"/>
      <x:c r="S11" s="1"/>
      <x:c r="T11" s="1"/>
      <x:c r="U11" s="1"/>
      <x:c r="V11" s="1"/>
      <x:c r="W11" s="1"/>
      <x:c r="X11" s="1"/>
      <x:c r="Y11" s="1"/>
      <x:c r="Z11" s="1"/>
    </x:row>
    <x:row r="12">
      <x:c r="A12" s="109" t="str">
        <x:v>BILL-007</x:v>
      </x:c>
      <x:c r="B12" s="109" t="str">
        <x:v>Vendor G</x:v>
      </x:c>
      <x:c r="C12" s="109" t="str">
        <x:v>Services</x:v>
      </x:c>
      <x:c r="D12" s="166" t="n">
        <x:v>119000</x:v>
      </x:c>
      <x:c r="E12" s="109" t="n">
        <x:v>7</x:v>
      </x:c>
      <x:c r="F12" s="109" t="str">
        <x:v>No</x:v>
      </x:c>
      <x:c r="G12" s="119" t="n">
        <x:f>E12</x:f>
        <x:v>7</x:v>
      </x:c>
      <x:c r="H12" s="168" t="n">
        <x:f>D12*IF(F12="Yes",1,'Assumptions'!$E$9)</x:f>
        <x:v>113050</x:v>
      </x:c>
      <x:c r="I12" s="1"/>
      <x:c r="J12" s="1"/>
      <x:c r="K12" s="1"/>
      <x:c r="L12" s="1"/>
      <x:c r="M12" s="1"/>
      <x:c r="N12" s="1"/>
      <x:c r="O12" s="1"/>
      <x:c r="P12" s="1"/>
      <x:c r="Q12" s="1"/>
      <x:c r="R12" s="1"/>
      <x:c r="S12" s="1"/>
      <x:c r="T12" s="1"/>
      <x:c r="U12" s="1"/>
      <x:c r="V12" s="1"/>
      <x:c r="W12" s="1"/>
      <x:c r="X12" s="1"/>
      <x:c r="Y12" s="1"/>
      <x:c r="Z12" s="1"/>
    </x:row>
    <x:row r="13">
      <x:c r="A13" s="109" t="str">
        <x:v>BILL-008</x:v>
      </x:c>
      <x:c r="B13" s="109" t="str">
        <x:v>Vendor H</x:v>
      </x:c>
      <x:c r="C13" s="109" t="str">
        <x:v>Facilities</x:v>
      </x:c>
      <x:c r="D13" s="166" t="n">
        <x:v>115000</x:v>
      </x:c>
      <x:c r="E13" s="109" t="n">
        <x:v>8</x:v>
      </x:c>
      <x:c r="F13" s="109" t="str">
        <x:v>No</x:v>
      </x:c>
      <x:c r="G13" s="119" t="n">
        <x:f>E13</x:f>
        <x:v>8</x:v>
      </x:c>
      <x:c r="H13" s="168" t="n">
        <x:f>D13*IF(F13="Yes",1,'Assumptions'!$E$9)</x:f>
        <x:v>109250</x:v>
      </x:c>
      <x:c r="I13" s="1"/>
      <x:c r="J13" s="1"/>
      <x:c r="K13" s="1"/>
      <x:c r="L13" s="1"/>
      <x:c r="M13" s="1"/>
      <x:c r="N13" s="1"/>
      <x:c r="O13" s="1"/>
      <x:c r="P13" s="1"/>
      <x:c r="Q13" s="1"/>
      <x:c r="R13" s="1"/>
      <x:c r="S13" s="1"/>
      <x:c r="T13" s="1"/>
      <x:c r="U13" s="1"/>
      <x:c r="V13" s="1"/>
      <x:c r="W13" s="1"/>
      <x:c r="X13" s="1"/>
      <x:c r="Y13" s="1"/>
      <x:c r="Z13" s="1"/>
    </x:row>
    <x:row r="14">
      <x:c r="A14" s="109" t="str">
        <x:v>BILL-009</x:v>
      </x:c>
      <x:c r="B14" s="109" t="str">
        <x:v>Vendor I</x:v>
      </x:c>
      <x:c r="C14" s="109" t="str">
        <x:v>Inventory</x:v>
      </x:c>
      <x:c r="D14" s="166" t="n">
        <x:v>110000</x:v>
      </x:c>
      <x:c r="E14" s="109" t="n">
        <x:v>9</x:v>
      </x:c>
      <x:c r="F14" s="109" t="str">
        <x:v>No</x:v>
      </x:c>
      <x:c r="G14" s="119" t="n">
        <x:f>E14</x:f>
        <x:v>9</x:v>
      </x:c>
      <x:c r="H14" s="168" t="n">
        <x:f>D14*IF(F14="Yes",1,'Assumptions'!$E$9)</x:f>
        <x:v>104500</x:v>
      </x:c>
      <x:c r="I14" s="1"/>
      <x:c r="J14" s="1"/>
      <x:c r="K14" s="1"/>
      <x:c r="L14" s="1"/>
      <x:c r="M14" s="1"/>
      <x:c r="N14" s="1"/>
      <x:c r="O14" s="1"/>
      <x:c r="P14" s="1"/>
      <x:c r="Q14" s="1"/>
      <x:c r="R14" s="1"/>
      <x:c r="S14" s="1"/>
      <x:c r="T14" s="1"/>
      <x:c r="U14" s="1"/>
      <x:c r="V14" s="1"/>
      <x:c r="W14" s="1"/>
      <x:c r="X14" s="1"/>
      <x:c r="Y14" s="1"/>
      <x:c r="Z14" s="1"/>
    </x:row>
    <x:row r="15">
      <x:c r="A15" s="109" t="str">
        <x:v>BILL-010</x:v>
      </x:c>
      <x:c r="B15" s="109" t="str">
        <x:v>Vendor J</x:v>
      </x:c>
      <x:c r="C15" s="109" t="str">
        <x:v>Freight</x:v>
      </x:c>
      <x:c r="D15" s="166" t="n">
        <x:v>106000</x:v>
      </x:c>
      <x:c r="E15" s="109" t="n">
        <x:v>10</x:v>
      </x:c>
      <x:c r="F15" s="109" t="str">
        <x:v>No</x:v>
      </x:c>
      <x:c r="G15" s="119" t="n">
        <x:f>E15</x:f>
        <x:v>10</x:v>
      </x:c>
      <x:c r="H15" s="168" t="n">
        <x:f>D15*IF(F15="Yes",1,'Assumptions'!$E$9)</x:f>
        <x:v>100700</x:v>
      </x:c>
      <x:c r="I15" s="1"/>
      <x:c r="J15" s="1"/>
      <x:c r="K15" s="1"/>
      <x:c r="L15" s="1"/>
      <x:c r="M15" s="1"/>
      <x:c r="N15" s="1"/>
      <x:c r="O15" s="1"/>
      <x:c r="P15" s="1"/>
      <x:c r="Q15" s="1"/>
      <x:c r="R15" s="1"/>
      <x:c r="S15" s="1"/>
      <x:c r="T15" s="1"/>
      <x:c r="U15" s="1"/>
      <x:c r="V15" s="1"/>
      <x:c r="W15" s="1"/>
      <x:c r="X15" s="1"/>
      <x:c r="Y15" s="1"/>
      <x:c r="Z15" s="1"/>
    </x:row>
    <x:row r="16">
      <x:c r="A16" s="109" t="str">
        <x:v>BILL-011</x:v>
      </x:c>
      <x:c r="B16" s="109" t="str">
        <x:v>Vendor A</x:v>
      </x:c>
      <x:c r="C16" s="109" t="str">
        <x:v>Services</x:v>
      </x:c>
      <x:c r="D16" s="166" t="n">
        <x:v>101000</x:v>
      </x:c>
      <x:c r="E16" s="109" t="n">
        <x:v>1</x:v>
      </x:c>
      <x:c r="F16" s="109" t="str">
        <x:v>Yes</x:v>
      </x:c>
      <x:c r="G16" s="119" t="n">
        <x:f>E16</x:f>
        <x:v>1</x:v>
      </x:c>
      <x:c r="H16" s="168" t="n">
        <x:f>D16*IF(F16="Yes",1,'Assumptions'!$E$9)</x:f>
        <x:v>101000</x:v>
      </x:c>
      <x:c r="I16" s="1"/>
      <x:c r="J16" s="1"/>
      <x:c r="K16" s="1"/>
      <x:c r="L16" s="1"/>
      <x:c r="M16" s="1"/>
      <x:c r="N16" s="1"/>
      <x:c r="O16" s="1"/>
      <x:c r="P16" s="1"/>
      <x:c r="Q16" s="1"/>
      <x:c r="R16" s="1"/>
      <x:c r="S16" s="1"/>
      <x:c r="T16" s="1"/>
      <x:c r="U16" s="1"/>
      <x:c r="V16" s="1"/>
      <x:c r="W16" s="1"/>
      <x:c r="X16" s="1"/>
      <x:c r="Y16" s="1"/>
      <x:c r="Z16" s="1"/>
    </x:row>
    <x:row r="17">
      <x:c r="A17" s="109" t="str">
        <x:v>BILL-012</x:v>
      </x:c>
      <x:c r="B17" s="109" t="str">
        <x:v>Vendor B</x:v>
      </x:c>
      <x:c r="C17" s="109" t="str">
        <x:v>Facilities</x:v>
      </x:c>
      <x:c r="D17" s="166" t="n">
        <x:v>97000</x:v>
      </x:c>
      <x:c r="E17" s="109" t="n">
        <x:v>2</x:v>
      </x:c>
      <x:c r="F17" s="109" t="str">
        <x:v>No</x:v>
      </x:c>
      <x:c r="G17" s="119" t="n">
        <x:f>E17</x:f>
        <x:v>2</x:v>
      </x:c>
      <x:c r="H17" s="168" t="n">
        <x:f>D17*IF(F17="Yes",1,'Assumptions'!$E$9)</x:f>
        <x:v>92150</x:v>
      </x:c>
      <x:c r="I17" s="1"/>
      <x:c r="J17" s="1"/>
      <x:c r="K17" s="1"/>
      <x:c r="L17" s="1"/>
      <x:c r="M17" s="1"/>
      <x:c r="N17" s="1"/>
      <x:c r="O17" s="1"/>
      <x:c r="P17" s="1"/>
      <x:c r="Q17" s="1"/>
      <x:c r="R17" s="1"/>
      <x:c r="S17" s="1"/>
      <x:c r="T17" s="1"/>
      <x:c r="U17" s="1"/>
      <x:c r="V17" s="1"/>
      <x:c r="W17" s="1"/>
      <x:c r="X17" s="1"/>
      <x:c r="Y17" s="1"/>
      <x:c r="Z17" s="1"/>
    </x:row>
    <x:row r="18">
      <x:c r="A18" s="109" t="str">
        <x:v>BILL-013</x:v>
      </x:c>
      <x:c r="B18" s="109" t="str">
        <x:v>Vendor C</x:v>
      </x:c>
      <x:c r="C18" s="109" t="str">
        <x:v>Inventory</x:v>
      </x:c>
      <x:c r="D18" s="166" t="n">
        <x:v>93000</x:v>
      </x:c>
      <x:c r="E18" s="109" t="n">
        <x:v>3</x:v>
      </x:c>
      <x:c r="F18" s="109" t="str">
        <x:v>No</x:v>
      </x:c>
      <x:c r="G18" s="119" t="n">
        <x:f>E18</x:f>
        <x:v>3</x:v>
      </x:c>
      <x:c r="H18" s="168" t="n">
        <x:f>D18*IF(F18="Yes",1,'Assumptions'!$E$9)</x:f>
        <x:v>88350</x:v>
      </x:c>
      <x:c r="I18" s="1"/>
      <x:c r="J18" s="1"/>
      <x:c r="K18" s="1"/>
      <x:c r="L18" s="1"/>
      <x:c r="M18" s="1"/>
      <x:c r="N18" s="1"/>
      <x:c r="O18" s="1"/>
      <x:c r="P18" s="1"/>
      <x:c r="Q18" s="1"/>
      <x:c r="R18" s="1"/>
      <x:c r="S18" s="1"/>
      <x:c r="T18" s="1"/>
      <x:c r="U18" s="1"/>
      <x:c r="V18" s="1"/>
      <x:c r="W18" s="1"/>
      <x:c r="X18" s="1"/>
      <x:c r="Y18" s="1"/>
      <x:c r="Z18" s="1"/>
    </x:row>
    <x:row r="19">
      <x:c r="A19" s="109" t="str">
        <x:v>BILL-014</x:v>
      </x:c>
      <x:c r="B19" s="109" t="str">
        <x:v>Vendor D</x:v>
      </x:c>
      <x:c r="C19" s="109" t="str">
        <x:v>Freight</x:v>
      </x:c>
      <x:c r="D19" s="166" t="n">
        <x:v>88000</x:v>
      </x:c>
      <x:c r="E19" s="109" t="n">
        <x:v>4</x:v>
      </x:c>
      <x:c r="F19" s="109" t="str">
        <x:v>No</x:v>
      </x:c>
      <x:c r="G19" s="119" t="n">
        <x:f>E19</x:f>
        <x:v>4</x:v>
      </x:c>
      <x:c r="H19" s="168" t="n">
        <x:f>D19*IF(F19="Yes",1,'Assumptions'!$E$9)</x:f>
        <x:v>83600</x:v>
      </x:c>
      <x:c r="I19" s="1"/>
      <x:c r="J19" s="1"/>
      <x:c r="K19" s="1"/>
      <x:c r="L19" s="1"/>
      <x:c r="M19" s="1"/>
      <x:c r="N19" s="1"/>
      <x:c r="O19" s="1"/>
      <x:c r="P19" s="1"/>
      <x:c r="Q19" s="1"/>
      <x:c r="R19" s="1"/>
      <x:c r="S19" s="1"/>
      <x:c r="T19" s="1"/>
      <x:c r="U19" s="1"/>
      <x:c r="V19" s="1"/>
      <x:c r="W19" s="1"/>
      <x:c r="X19" s="1"/>
      <x:c r="Y19" s="1"/>
      <x:c r="Z19" s="1"/>
    </x:row>
    <x:row r="20">
      <x:c r="A20" s="109" t="str">
        <x:v>BILL-015</x:v>
      </x:c>
      <x:c r="B20" s="109" t="str">
        <x:v>Vendor E</x:v>
      </x:c>
      <x:c r="C20" s="109" t="str">
        <x:v>Services</x:v>
      </x:c>
      <x:c r="D20" s="166" t="n">
        <x:v>84000</x:v>
      </x:c>
      <x:c r="E20" s="109" t="n">
        <x:v>5</x:v>
      </x:c>
      <x:c r="F20" s="109" t="str">
        <x:v>No</x:v>
      </x:c>
      <x:c r="G20" s="119" t="n">
        <x:f>E20</x:f>
        <x:v>5</x:v>
      </x:c>
      <x:c r="H20" s="168" t="n">
        <x:f>D20*IF(F20="Yes",1,'Assumptions'!$E$9)</x:f>
        <x:v>79800</x:v>
      </x:c>
      <x:c r="I20" s="1"/>
      <x:c r="J20" s="1"/>
      <x:c r="K20" s="1"/>
      <x:c r="L20" s="1"/>
      <x:c r="M20" s="1"/>
      <x:c r="N20" s="1"/>
      <x:c r="O20" s="1"/>
      <x:c r="P20" s="1"/>
      <x:c r="Q20" s="1"/>
      <x:c r="R20" s="1"/>
      <x:c r="S20" s="1"/>
      <x:c r="T20" s="1"/>
      <x:c r="U20" s="1"/>
      <x:c r="V20" s="1"/>
      <x:c r="W20" s="1"/>
      <x:c r="X20" s="1"/>
      <x:c r="Y20" s="1"/>
      <x:c r="Z20" s="1"/>
    </x:row>
    <x:row r="21">
      <x:c r="A21" s="109" t="str">
        <x:v>BILL-016</x:v>
      </x:c>
      <x:c r="B21" s="109" t="str">
        <x:v>Vendor F</x:v>
      </x:c>
      <x:c r="C21" s="109" t="str">
        <x:v>Facilities</x:v>
      </x:c>
      <x:c r="D21" s="166" t="n">
        <x:v>79000</x:v>
      </x:c>
      <x:c r="E21" s="109" t="n">
        <x:v>6</x:v>
      </x:c>
      <x:c r="F21" s="109" t="str">
        <x:v>Yes</x:v>
      </x:c>
      <x:c r="G21" s="119" t="n">
        <x:f>E21</x:f>
        <x:v>6</x:v>
      </x:c>
      <x:c r="H21" s="168" t="n">
        <x:f>D21*IF(F21="Yes",1,'Assumptions'!$E$9)</x:f>
        <x:v>79000</x:v>
      </x:c>
      <x:c r="I21" s="1"/>
      <x:c r="J21" s="1"/>
      <x:c r="K21" s="1"/>
      <x:c r="L21" s="1"/>
      <x:c r="M21" s="1"/>
      <x:c r="N21" s="1"/>
      <x:c r="O21" s="1"/>
      <x:c r="P21" s="1"/>
      <x:c r="Q21" s="1"/>
      <x:c r="R21" s="1"/>
      <x:c r="S21" s="1"/>
      <x:c r="T21" s="1"/>
      <x:c r="U21" s="1"/>
      <x:c r="V21" s="1"/>
      <x:c r="W21" s="1"/>
      <x:c r="X21" s="1"/>
      <x:c r="Y21" s="1"/>
      <x:c r="Z21" s="1"/>
    </x:row>
    <x:row r="22">
      <x:c r="A22" s="109" t="str">
        <x:v>BILL-017</x:v>
      </x:c>
      <x:c r="B22" s="109" t="str">
        <x:v>Vendor G</x:v>
      </x:c>
      <x:c r="C22" s="109" t="str">
        <x:v>Inventory</x:v>
      </x:c>
      <x:c r="D22" s="166" t="n">
        <x:v>75000</x:v>
      </x:c>
      <x:c r="E22" s="109" t="n">
        <x:v>7</x:v>
      </x:c>
      <x:c r="F22" s="109" t="str">
        <x:v>No</x:v>
      </x:c>
      <x:c r="G22" s="119" t="n">
        <x:f>E22</x:f>
        <x:v>7</x:v>
      </x:c>
      <x:c r="H22" s="168" t="n">
        <x:f>D22*IF(F22="Yes",1,'Assumptions'!$E$9)</x:f>
        <x:v>71250</x:v>
      </x:c>
      <x:c r="I22" s="1"/>
      <x:c r="J22" s="1"/>
      <x:c r="K22" s="1"/>
      <x:c r="L22" s="1"/>
      <x:c r="M22" s="1"/>
      <x:c r="N22" s="1"/>
      <x:c r="O22" s="1"/>
      <x:c r="P22" s="1"/>
      <x:c r="Q22" s="1"/>
      <x:c r="R22" s="1"/>
      <x:c r="S22" s="1"/>
      <x:c r="T22" s="1"/>
      <x:c r="U22" s="1"/>
      <x:c r="V22" s="1"/>
      <x:c r="W22" s="1"/>
      <x:c r="X22" s="1"/>
      <x:c r="Y22" s="1"/>
      <x:c r="Z22" s="1"/>
    </x:row>
    <x:row r="23">
      <x:c r="A23" s="109" t="str">
        <x:v>BILL-018</x:v>
      </x:c>
      <x:c r="B23" s="109" t="str">
        <x:v>Vendor H</x:v>
      </x:c>
      <x:c r="C23" s="109" t="str">
        <x:v>Freight</x:v>
      </x:c>
      <x:c r="D23" s="166" t="n">
        <x:v>71000</x:v>
      </x:c>
      <x:c r="E23" s="109" t="n">
        <x:v>8</x:v>
      </x:c>
      <x:c r="F23" s="109" t="str">
        <x:v>No</x:v>
      </x:c>
      <x:c r="G23" s="119" t="n">
        <x:f>E23</x:f>
        <x:v>8</x:v>
      </x:c>
      <x:c r="H23" s="168" t="n">
        <x:f>D23*IF(F23="Yes",1,'Assumptions'!$E$9)</x:f>
        <x:v>67450</x:v>
      </x:c>
      <x:c r="I23" s="1"/>
      <x:c r="J23" s="1"/>
      <x:c r="K23" s="1"/>
      <x:c r="L23" s="1"/>
      <x:c r="M23" s="1"/>
      <x:c r="N23" s="1"/>
      <x:c r="O23" s="1"/>
      <x:c r="P23" s="1"/>
      <x:c r="Q23" s="1"/>
      <x:c r="R23" s="1"/>
      <x:c r="S23" s="1"/>
      <x:c r="T23" s="1"/>
      <x:c r="U23" s="1"/>
      <x:c r="V23" s="1"/>
      <x:c r="W23" s="1"/>
      <x:c r="X23" s="1"/>
      <x:c r="Y23" s="1"/>
      <x:c r="Z23" s="1"/>
    </x:row>
    <x:row r="24">
      <x:c r="A24" s="109" t="str">
        <x:v>BILL-019</x:v>
      </x:c>
      <x:c r="B24" s="109" t="str">
        <x:v>Vendor I</x:v>
      </x:c>
      <x:c r="C24" s="109" t="str">
        <x:v>Services</x:v>
      </x:c>
      <x:c r="D24" s="166" t="n">
        <x:v>66000</x:v>
      </x:c>
      <x:c r="E24" s="109" t="n">
        <x:v>9</x:v>
      </x:c>
      <x:c r="F24" s="109" t="str">
        <x:v>No</x:v>
      </x:c>
      <x:c r="G24" s="119" t="n">
        <x:f>E24</x:f>
        <x:v>9</x:v>
      </x:c>
      <x:c r="H24" s="168" t="n">
        <x:f>D24*IF(F24="Yes",1,'Assumptions'!$E$9)</x:f>
        <x:v>62700</x:v>
      </x:c>
      <x:c r="I24" s="1"/>
      <x:c r="J24" s="1"/>
      <x:c r="K24" s="1"/>
      <x:c r="L24" s="1"/>
      <x:c r="M24" s="1"/>
      <x:c r="N24" s="1"/>
      <x:c r="O24" s="1"/>
      <x:c r="P24" s="1"/>
      <x:c r="Q24" s="1"/>
      <x:c r="R24" s="1"/>
      <x:c r="S24" s="1"/>
      <x:c r="T24" s="1"/>
      <x:c r="U24" s="1"/>
      <x:c r="V24" s="1"/>
      <x:c r="W24" s="1"/>
      <x:c r="X24" s="1"/>
      <x:c r="Y24" s="1"/>
      <x:c r="Z24" s="1"/>
    </x:row>
    <x:row r="25">
      <x:c r="A25" s="109" t="str">
        <x:v>BILL-020</x:v>
      </x:c>
      <x:c r="B25" s="109" t="str">
        <x:v>Vendor J</x:v>
      </x:c>
      <x:c r="C25" s="109" t="str">
        <x:v>Facilities</x:v>
      </x:c>
      <x:c r="D25" s="166" t="n">
        <x:v>62000</x:v>
      </x:c>
      <x:c r="E25" s="109" t="n">
        <x:v>10</x:v>
      </x:c>
      <x:c r="F25" s="109" t="str">
        <x:v>No</x:v>
      </x:c>
      <x:c r="G25" s="119" t="n">
        <x:f>E25</x:f>
        <x:v>10</x:v>
      </x:c>
      <x:c r="H25" s="168" t="n">
        <x:f>D25*IF(F25="Yes",1,'Assumptions'!$E$9)</x:f>
        <x:v>58900</x:v>
      </x:c>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72" t="str">
        <x:v>TOTAL OPENING AP</x:v>
      </x:c>
      <x:c r="B27" s="173"/>
      <x:c r="C27" s="173"/>
      <x:c r="D27" s="173" t="n">
        <x:f>SUM(D6:D25)</x:f>
        <x:v>2100000</x:v>
      </x:c>
      <x:c r="E27" s="173"/>
      <x:c r="F27" s="173" t="str">
        <x:v>EXPECTED PAYMENT</x:v>
      </x:c>
      <x:c r="G27" s="173"/>
      <x:c r="H27" s="174" t="n">
        <x:f>SUM(H6:H25)</x:f>
        <x:v>2018150</x:v>
      </x:c>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sheetData>
  <x:mergeCells>
    <x:mergeCell ref="A1:H2"/>
    <x:mergeCell ref="A3:H3"/>
    <x:mergeCell ref="A27:C27"/>
    <x:mergeCell ref="F27:G27"/>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16" hidden="0" customWidth="1"/>
    <x:col min="4" max="4" width="13" hidden="0" customWidth="1"/>
    <x:col min="5" max="5" width="13" hidden="0" customWidth="1"/>
    <x:col min="6" max="6" width="17" hidden="0" customWidth="1"/>
    <x:col min="7" max="7" width="17" hidden="0" customWidth="1"/>
    <x:col min="8" max="8" width="15" hidden="0" customWidth="1"/>
    <x:col min="9" max="9" width="20" hidden="0" customWidth="1"/>
    <x:col min="10" max="10" width="12" hidden="0" customWidth="1"/>
  </x:cols>
  <x:sheetData>
    <x:row r="1" ht="25" customHeight="1">
      <x:c r="A1" s="4" t="str">
        <x:v>INVENTORY WORKING-CAPITAL PLAN</x:v>
      </x:c>
      <x:c r="B1" s="4"/>
      <x:c r="C1" s="4"/>
      <x:c r="D1" s="4"/>
      <x:c r="E1" s="4"/>
      <x:c r="F1" s="4"/>
      <x:c r="G1" s="4"/>
      <x:c r="H1" s="4"/>
      <x:c r="I1" s="4"/>
      <x:c r="J1" s="4"/>
      <x:c r="K1" s="1"/>
      <x:c r="L1" s="1"/>
      <x:c r="M1" s="1"/>
      <x:c r="N1" s="1"/>
      <x:c r="O1" s="1"/>
      <x:c r="P1" s="1"/>
      <x:c r="Q1" s="1"/>
      <x:c r="R1" s="1"/>
      <x:c r="S1" s="1"/>
      <x:c r="T1" s="1"/>
      <x:c r="U1" s="1"/>
      <x:c r="V1" s="1"/>
      <x:c r="W1" s="1"/>
      <x:c r="X1" s="1"/>
      <x:c r="Y1" s="1"/>
      <x:c r="Z1" s="1"/>
    </x:row>
    <x:row r="2" ht="25" customHeight="1">
      <x:c r="A2" s="4"/>
      <x:c r="B2" s="4"/>
      <x:c r="C2" s="4"/>
      <x:c r="D2" s="4"/>
      <x:c r="E2" s="4"/>
      <x:c r="F2" s="4"/>
      <x:c r="G2" s="4"/>
      <x:c r="H2" s="4"/>
      <x:c r="I2" s="4"/>
      <x:c r="J2" s="4"/>
      <x:c r="K2" s="1"/>
      <x:c r="L2" s="1"/>
      <x:c r="M2" s="1"/>
      <x:c r="N2" s="1"/>
      <x:c r="O2" s="1"/>
      <x:c r="P2" s="1"/>
      <x:c r="Q2" s="1"/>
      <x:c r="R2" s="1"/>
      <x:c r="S2" s="1"/>
      <x:c r="T2" s="1"/>
      <x:c r="U2" s="1"/>
      <x:c r="V2" s="1"/>
      <x:c r="W2" s="1"/>
      <x:c r="X2" s="1"/>
      <x:c r="Y2" s="1"/>
      <x:c r="Z2" s="1"/>
    </x:row>
    <x:row r="3" ht="25" customHeight="1">
      <x:c r="A3" s="7" t="str">
        <x:v>Current stock, demand coverage, and purchase-deferral opportunity by category</x:v>
      </x:c>
      <x:c r="B3" s="7"/>
      <x:c r="C3" s="7"/>
      <x:c r="D3" s="7"/>
      <x:c r="E3" s="7"/>
      <x:c r="F3" s="7"/>
      <x:c r="G3" s="7"/>
      <x:c r="H3" s="7"/>
      <x:c r="I3" s="7"/>
      <x:c r="J3" s="7"/>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155" t="str">
        <x:v>Category</x:v>
      </x:c>
      <x:c r="B5" s="155" t="str">
        <x:v>Inventory value</x:v>
      </x:c>
      <x:c r="C5" s="155" t="str">
        <x:v>Weekly COGS</x:v>
      </x:c>
      <x:c r="D5" s="155" t="str">
        <x:v>Weeks cover</x:v>
      </x:c>
      <x:c r="E5" s="155" t="str">
        <x:v>Target weeks</x:v>
      </x:c>
      <x:c r="F5" s="155" t="str">
        <x:v>Target inventory</x:v>
      </x:c>
      <x:c r="G5" s="155" t="str">
        <x:v>Excess inventory</x:v>
      </x:c>
      <x:c r="H5" s="155" t="str">
        <x:v>Deferral factor</x:v>
      </x:c>
      <x:c r="I5" s="155" t="str">
        <x:v>Planned purchase deferral</x:v>
      </x:c>
      <x:c r="J5" s="155" t="str">
        <x:v>Action week</x:v>
      </x:c>
      <x:c r="K5" s="1"/>
      <x:c r="L5" s="1"/>
      <x:c r="M5" s="1"/>
      <x:c r="N5" s="1"/>
      <x:c r="O5" s="1"/>
      <x:c r="P5" s="1"/>
      <x:c r="Q5" s="1"/>
      <x:c r="R5" s="1"/>
      <x:c r="S5" s="1"/>
      <x:c r="T5" s="1"/>
      <x:c r="U5" s="1"/>
      <x:c r="V5" s="1"/>
      <x:c r="W5" s="1"/>
      <x:c r="X5" s="1"/>
      <x:c r="Y5" s="1"/>
      <x:c r="Z5" s="1"/>
    </x:row>
    <x:row r="6">
      <x:c r="A6" s="108" t="str">
        <x:v>Electronics</x:v>
      </x:c>
      <x:c r="B6" s="165" t="n">
        <x:v>310000</x:v>
      </x:c>
      <x:c r="C6" s="165" t="n">
        <x:v>74000</x:v>
      </x:c>
      <x:c r="D6" s="177" t="n">
        <x:f>B6/C6</x:f>
        <x:v>4.1891891891891895</x:v>
      </x:c>
      <x:c r="E6" s="177" t="n">
        <x:v>3</x:v>
      </x:c>
      <x:c r="F6" s="167" t="n">
        <x:f>C6*E6</x:f>
        <x:v>222000</x:v>
      </x:c>
      <x:c r="G6" s="167" t="n">
        <x:f>MAX(0,B6-F6)</x:f>
        <x:v>88000</x:v>
      </x:c>
      <x:c r="H6" s="120" t="n">
        <x:f>'Assumptions'!$E$11</x:f>
        <x:v>0.25</x:v>
      </x:c>
      <x:c r="I6" s="167" t="n">
        <x:f>G6*H6</x:f>
        <x:v>22000</x:v>
      </x:c>
      <x:c r="J6" s="108" t="n">
        <x:v>4</x:v>
      </x:c>
      <x:c r="K6" s="1"/>
      <x:c r="L6" s="1"/>
      <x:c r="M6" s="1"/>
      <x:c r="N6" s="1"/>
      <x:c r="O6" s="1"/>
      <x:c r="P6" s="1"/>
      <x:c r="Q6" s="1"/>
      <x:c r="R6" s="1"/>
      <x:c r="S6" s="1"/>
      <x:c r="T6" s="1"/>
      <x:c r="U6" s="1"/>
      <x:c r="V6" s="1"/>
      <x:c r="W6" s="1"/>
      <x:c r="X6" s="1"/>
      <x:c r="Y6" s="1"/>
      <x:c r="Z6" s="1"/>
    </x:row>
    <x:row r="7">
      <x:c r="A7" s="109" t="str">
        <x:v>Home</x:v>
      </x:c>
      <x:c r="B7" s="166" t="n">
        <x:v>260000</x:v>
      </x:c>
      <x:c r="C7" s="166" t="n">
        <x:v>66000</x:v>
      </x:c>
      <x:c r="D7" s="178" t="n">
        <x:f>B7/C7</x:f>
        <x:v>3.9393939393939394</x:v>
      </x:c>
      <x:c r="E7" s="178" t="n">
        <x:v>3</x:v>
      </x:c>
      <x:c r="F7" s="168" t="n">
        <x:f>C7*E7</x:f>
        <x:v>198000</x:v>
      </x:c>
      <x:c r="G7" s="168" t="n">
        <x:f>MAX(0,B7-F7)</x:f>
        <x:v>62000</x:v>
      </x:c>
      <x:c r="H7" s="121" t="n">
        <x:f>'Assumptions'!$E$11</x:f>
        <x:v>0.25</x:v>
      </x:c>
      <x:c r="I7" s="168" t="n">
        <x:f>G7*H7</x:f>
        <x:v>15500</x:v>
      </x:c>
      <x:c r="J7" s="109" t="n">
        <x:v>5</x:v>
      </x:c>
      <x:c r="K7" s="1"/>
      <x:c r="L7" s="1"/>
      <x:c r="M7" s="1"/>
      <x:c r="N7" s="1"/>
      <x:c r="O7" s="1"/>
      <x:c r="P7" s="1"/>
      <x:c r="Q7" s="1"/>
      <x:c r="R7" s="1"/>
      <x:c r="S7" s="1"/>
      <x:c r="T7" s="1"/>
      <x:c r="U7" s="1"/>
      <x:c r="V7" s="1"/>
      <x:c r="W7" s="1"/>
      <x:c r="X7" s="1"/>
      <x:c r="Y7" s="1"/>
      <x:c r="Z7" s="1"/>
    </x:row>
    <x:row r="8">
      <x:c r="A8" s="109" t="str">
        <x:v>Office</x:v>
      </x:c>
      <x:c r="B8" s="166" t="n">
        <x:v>230000</x:v>
      </x:c>
      <x:c r="C8" s="166" t="n">
        <x:v>60000</x:v>
      </x:c>
      <x:c r="D8" s="178" t="n">
        <x:f>B8/C8</x:f>
        <x:v>3.8333333333333335</x:v>
      </x:c>
      <x:c r="E8" s="178" t="n">
        <x:v>2.8</x:v>
      </x:c>
      <x:c r="F8" s="168" t="n">
        <x:f>C8*E8</x:f>
        <x:v>168000</x:v>
      </x:c>
      <x:c r="G8" s="168" t="n">
        <x:f>MAX(0,B8-F8)</x:f>
        <x:v>62000</x:v>
      </x:c>
      <x:c r="H8" s="121" t="n">
        <x:f>'Assumptions'!$E$11</x:f>
        <x:v>0.25</x:v>
      </x:c>
      <x:c r="I8" s="168" t="n">
        <x:f>G8*H8</x:f>
        <x:v>15500</x:v>
      </x:c>
      <x:c r="J8" s="109" t="n">
        <x:v>6</x:v>
      </x:c>
      <x:c r="K8" s="1"/>
      <x:c r="L8" s="1"/>
      <x:c r="M8" s="1"/>
      <x:c r="N8" s="1"/>
      <x:c r="O8" s="1"/>
      <x:c r="P8" s="1"/>
      <x:c r="Q8" s="1"/>
      <x:c r="R8" s="1"/>
      <x:c r="S8" s="1"/>
      <x:c r="T8" s="1"/>
      <x:c r="U8" s="1"/>
      <x:c r="V8" s="1"/>
      <x:c r="W8" s="1"/>
      <x:c r="X8" s="1"/>
      <x:c r="Y8" s="1"/>
      <x:c r="Z8" s="1"/>
    </x:row>
    <x:row r="9">
      <x:c r="A9" s="109" t="str">
        <x:v>Health</x:v>
      </x:c>
      <x:c r="B9" s="166" t="n">
        <x:v>200000</x:v>
      </x:c>
      <x:c r="C9" s="166" t="n">
        <x:v>52000</x:v>
      </x:c>
      <x:c r="D9" s="178" t="n">
        <x:f>B9/C9</x:f>
        <x:v>3.8461538461538463</x:v>
      </x:c>
      <x:c r="E9" s="178" t="n">
        <x:v>3</x:v>
      </x:c>
      <x:c r="F9" s="168" t="n">
        <x:f>C9*E9</x:f>
        <x:v>156000</x:v>
      </x:c>
      <x:c r="G9" s="168" t="n">
        <x:f>MAX(0,B9-F9)</x:f>
        <x:v>44000</x:v>
      </x:c>
      <x:c r="H9" s="121" t="n">
        <x:f>'Assumptions'!$E$11</x:f>
        <x:v>0.25</x:v>
      </x:c>
      <x:c r="I9" s="168" t="n">
        <x:f>G9*H9</x:f>
        <x:v>11000</x:v>
      </x:c>
      <x:c r="J9" s="109" t="n">
        <x:v>7</x:v>
      </x:c>
      <x:c r="K9" s="1"/>
      <x:c r="L9" s="1"/>
      <x:c r="M9" s="1"/>
      <x:c r="N9" s="1"/>
      <x:c r="O9" s="1"/>
      <x:c r="P9" s="1"/>
      <x:c r="Q9" s="1"/>
      <x:c r="R9" s="1"/>
      <x:c r="S9" s="1"/>
      <x:c r="T9" s="1"/>
      <x:c r="U9" s="1"/>
      <x:c r="V9" s="1"/>
      <x:c r="W9" s="1"/>
      <x:c r="X9" s="1"/>
      <x:c r="Y9" s="1"/>
      <x:c r="Z9" s="1"/>
    </x:row>
    <x:row r="10">
      <x:c r="A10" s="109" t="str">
        <x:v>Outdoor</x:v>
      </x:c>
      <x:c r="B10" s="166" t="n">
        <x:v>175000</x:v>
      </x:c>
      <x:c r="C10" s="166" t="n">
        <x:v>46000</x:v>
      </x:c>
      <x:c r="D10" s="178" t="n">
        <x:f>B10/C10</x:f>
        <x:v>3.8043478260869565</x:v>
      </x:c>
      <x:c r="E10" s="178" t="n">
        <x:v>2.8</x:v>
      </x:c>
      <x:c r="F10" s="168" t="n">
        <x:f>C10*E10</x:f>
        <x:v>128799.99999999999</x:v>
      </x:c>
      <x:c r="G10" s="168" t="n">
        <x:f>MAX(0,B10-F10)</x:f>
        <x:v>46200.000000000015</x:v>
      </x:c>
      <x:c r="H10" s="121" t="n">
        <x:f>'Assumptions'!$E$11</x:f>
        <x:v>0.25</x:v>
      </x:c>
      <x:c r="I10" s="168" t="n">
        <x:f>G10*H10</x:f>
        <x:v>11550.000000000004</x:v>
      </x:c>
      <x:c r="J10" s="109" t="n">
        <x:v>4</x:v>
      </x:c>
      <x:c r="K10" s="1"/>
      <x:c r="L10" s="1"/>
      <x:c r="M10" s="1"/>
      <x:c r="N10" s="1"/>
      <x:c r="O10" s="1"/>
      <x:c r="P10" s="1"/>
      <x:c r="Q10" s="1"/>
      <x:c r="R10" s="1"/>
      <x:c r="S10" s="1"/>
      <x:c r="T10" s="1"/>
      <x:c r="U10" s="1"/>
      <x:c r="V10" s="1"/>
      <x:c r="W10" s="1"/>
      <x:c r="X10" s="1"/>
      <x:c r="Y10" s="1"/>
      <x:c r="Z10" s="1"/>
    </x:row>
    <x:row r="11">
      <x:c r="A11" s="109" t="str">
        <x:v>Kitchen</x:v>
      </x:c>
      <x:c r="B11" s="166" t="n">
        <x:v>150000</x:v>
      </x:c>
      <x:c r="C11" s="166" t="n">
        <x:v>42000</x:v>
      </x:c>
      <x:c r="D11" s="178" t="n">
        <x:f>B11/C11</x:f>
        <x:v>3.5714285714285716</x:v>
      </x:c>
      <x:c r="E11" s="178" t="n">
        <x:v>2.6</x:v>
      </x:c>
      <x:c r="F11" s="168" t="n">
        <x:f>C11*E11</x:f>
        <x:v>109200</x:v>
      </x:c>
      <x:c r="G11" s="168" t="n">
        <x:f>MAX(0,B11-F11)</x:f>
        <x:v>40800</x:v>
      </x:c>
      <x:c r="H11" s="121" t="n">
        <x:f>'Assumptions'!$E$11</x:f>
        <x:v>0.25</x:v>
      </x:c>
      <x:c r="I11" s="168" t="n">
        <x:f>G11*H11</x:f>
        <x:v>10200</x:v>
      </x:c>
      <x:c r="J11" s="109" t="n">
        <x:v>5</x:v>
      </x:c>
      <x:c r="K11" s="1"/>
      <x:c r="L11" s="1"/>
      <x:c r="M11" s="1"/>
      <x:c r="N11" s="1"/>
      <x:c r="O11" s="1"/>
      <x:c r="P11" s="1"/>
      <x:c r="Q11" s="1"/>
      <x:c r="R11" s="1"/>
      <x:c r="S11" s="1"/>
      <x:c r="T11" s="1"/>
      <x:c r="U11" s="1"/>
      <x:c r="V11" s="1"/>
      <x:c r="W11" s="1"/>
      <x:c r="X11" s="1"/>
      <x:c r="Y11" s="1"/>
      <x:c r="Z11" s="1"/>
    </x:row>
    <x:row r="12">
      <x:c r="A12" s="109" t="str">
        <x:v>Apparel</x:v>
      </x:c>
      <x:c r="B12" s="166" t="n">
        <x:v>125000</x:v>
      </x:c>
      <x:c r="C12" s="166" t="n">
        <x:v>38000</x:v>
      </x:c>
      <x:c r="D12" s="178" t="n">
        <x:f>B12/C12</x:f>
        <x:v>3.289473684210526</x:v>
      </x:c>
      <x:c r="E12" s="178" t="n">
        <x:v>2.5</x:v>
      </x:c>
      <x:c r="F12" s="168" t="n">
        <x:f>C12*E12</x:f>
        <x:v>95000</x:v>
      </x:c>
      <x:c r="G12" s="168" t="n">
        <x:f>MAX(0,B12-F12)</x:f>
        <x:v>30000</x:v>
      </x:c>
      <x:c r="H12" s="121" t="n">
        <x:f>'Assumptions'!$E$11</x:f>
        <x:v>0.25</x:v>
      </x:c>
      <x:c r="I12" s="168" t="n">
        <x:f>G12*H12</x:f>
        <x:v>7500</x:v>
      </x:c>
      <x:c r="J12" s="109" t="n">
        <x:v>6</x:v>
      </x:c>
      <x:c r="K12" s="1"/>
      <x:c r="L12" s="1"/>
      <x:c r="M12" s="1"/>
      <x:c r="N12" s="1"/>
      <x:c r="O12" s="1"/>
      <x:c r="P12" s="1"/>
      <x:c r="Q12" s="1"/>
      <x:c r="R12" s="1"/>
      <x:c r="S12" s="1"/>
      <x:c r="T12" s="1"/>
      <x:c r="U12" s="1"/>
      <x:c r="V12" s="1"/>
      <x:c r="W12" s="1"/>
      <x:c r="X12" s="1"/>
      <x:c r="Y12" s="1"/>
      <x:c r="Z12" s="1"/>
    </x:row>
    <x:row r="13">
      <x:c r="A13" s="109" t="str">
        <x:v>Travel</x:v>
      </x:c>
      <x:c r="B13" s="166" t="n">
        <x:v>100000</x:v>
      </x:c>
      <x:c r="C13" s="166" t="n">
        <x:v>34000</x:v>
      </x:c>
      <x:c r="D13" s="178" t="n">
        <x:f>B13/C13</x:f>
        <x:v>2.9411764705882355</x:v>
      </x:c>
      <x:c r="E13" s="178" t="n">
        <x:v>2.5</x:v>
      </x:c>
      <x:c r="F13" s="168" t="n">
        <x:f>C13*E13</x:f>
        <x:v>85000</x:v>
      </x:c>
      <x:c r="G13" s="168" t="n">
        <x:f>MAX(0,B13-F13)</x:f>
        <x:v>15000</x:v>
      </x:c>
      <x:c r="H13" s="121" t="n">
        <x:f>'Assumptions'!$E$11</x:f>
        <x:v>0.25</x:v>
      </x:c>
      <x:c r="I13" s="168" t="n">
        <x:f>G13*H13</x:f>
        <x:v>3750</x:v>
      </x:c>
      <x:c r="J13" s="109" t="n">
        <x:v>7</x:v>
      </x:c>
      <x:c r="K13" s="1"/>
      <x:c r="L13" s="1"/>
      <x:c r="M13" s="1"/>
      <x:c r="N13" s="1"/>
      <x:c r="O13" s="1"/>
      <x:c r="P13" s="1"/>
      <x:c r="Q13" s="1"/>
      <x:c r="R13" s="1"/>
      <x:c r="S13" s="1"/>
      <x:c r="T13" s="1"/>
      <x:c r="U13" s="1"/>
      <x:c r="V13" s="1"/>
      <x:c r="W13" s="1"/>
      <x:c r="X13" s="1"/>
      <x:c r="Y13" s="1"/>
      <x:c r="Z13" s="1"/>
    </x:row>
    <x:row r="14">
      <x:c r="A14" s="109" t="str">
        <x:v>Accessories</x:v>
      </x:c>
      <x:c r="B14" s="166" t="n">
        <x:v>60000</x:v>
      </x:c>
      <x:c r="C14" s="166" t="n">
        <x:v>26000</x:v>
      </x:c>
      <x:c r="D14" s="178" t="n">
        <x:f>B14/C14</x:f>
        <x:v>2.3076923076923075</x:v>
      </x:c>
      <x:c r="E14" s="178" t="n">
        <x:v>2.2</x:v>
      </x:c>
      <x:c r="F14" s="168" t="n">
        <x:f>C14*E14</x:f>
        <x:v>57200.00000000001</x:v>
      </x:c>
      <x:c r="G14" s="168" t="n">
        <x:f>MAX(0,B14-F14)</x:f>
        <x:v>2799.9999999999927</x:v>
      </x:c>
      <x:c r="H14" s="121" t="n">
        <x:f>'Assumptions'!$E$11</x:f>
        <x:v>0.25</x:v>
      </x:c>
      <x:c r="I14" s="168" t="n">
        <x:f>G14*H14</x:f>
        <x:v>699.9999999999982</x:v>
      </x:c>
      <x:c r="J14" s="109" t="n">
        <x:v>4</x:v>
      </x:c>
      <x:c r="K14" s="1"/>
      <x:c r="L14" s="1"/>
      <x:c r="M14" s="1"/>
      <x:c r="N14" s="1"/>
      <x:c r="O14" s="1"/>
      <x:c r="P14" s="1"/>
      <x:c r="Q14" s="1"/>
      <x:c r="R14" s="1"/>
      <x:c r="S14" s="1"/>
      <x:c r="T14" s="1"/>
      <x:c r="U14" s="1"/>
      <x:c r="V14" s="1"/>
      <x:c r="W14" s="1"/>
      <x:c r="X14" s="1"/>
      <x:c r="Y14" s="1"/>
      <x:c r="Z14" s="1"/>
    </x:row>
    <x:row r="15">
      <x:c r="A15" s="109" t="str">
        <x:v>Other</x:v>
      </x:c>
      <x:c r="B15" s="166" t="n">
        <x:v>40000</x:v>
      </x:c>
      <x:c r="C15" s="166" t="n">
        <x:v>22000</x:v>
      </x:c>
      <x:c r="D15" s="178" t="n">
        <x:f>B15/C15</x:f>
        <x:v>1.8181818181818181</x:v>
      </x:c>
      <x:c r="E15" s="178" t="n">
        <x:v>2</x:v>
      </x:c>
      <x:c r="F15" s="168" t="n">
        <x:f>C15*E15</x:f>
        <x:v>44000</x:v>
      </x:c>
      <x:c r="G15" s="168" t="n">
        <x:f>MAX(0,B15-F15)</x:f>
        <x:v>0</x:v>
      </x:c>
      <x:c r="H15" s="121" t="n">
        <x:f>'Assumptions'!$E$11</x:f>
        <x:v>0.25</x:v>
      </x:c>
      <x:c r="I15" s="168" t="n">
        <x:f>G15*H15</x:f>
        <x:v>0</x:v>
      </x:c>
      <x:c r="J15" s="109" t="n">
        <x:v>5</x:v>
      </x:c>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72" t="str">
        <x:v>TOTAL</x:v>
      </x:c>
      <x:c r="B17" s="173" t="n">
        <x:f>SUM(B6:B15)</x:f>
        <x:v>1650000</x:v>
      </x:c>
      <x:c r="C17" s="173"/>
      <x:c r="D17" s="173"/>
      <x:c r="E17" s="173"/>
      <x:c r="F17" s="173" t="n">
        <x:f>SUM(F6:F15)</x:f>
        <x:v>1263200</x:v>
      </x:c>
      <x:c r="G17" s="173" t="n">
        <x:f>SUM(G6:G15)</x:f>
        <x:v>390800</x:v>
      </x:c>
      <x:c r="H17" s="173"/>
      <x:c r="I17" s="173" t="n">
        <x:f>SUM(I6:I15)</x:f>
        <x:v>97700</x:v>
      </x:c>
      <x:c r="J17" s="174"/>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sheetData>
  <x:mergeCells>
    <x:mergeCell ref="A1:J2"/>
    <x:mergeCell ref="A3:J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7"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25" customHeight="1">
      <x:c r="A1" s="4" t="str">
        <x:v>13-WEEK CASH FLOW</x:v>
      </x:c>
      <x:c r="B1" s="4"/>
      <x:c r="C1" s="4"/>
      <x:c r="D1" s="4"/>
      <x:c r="E1" s="4"/>
      <x:c r="F1" s="4"/>
      <x:c r="G1" s="4"/>
      <x:c r="H1" s="4"/>
      <x:c r="I1" s="4"/>
      <x:c r="J1" s="4"/>
      <x:c r="K1" s="4"/>
      <x:c r="L1" s="4"/>
      <x:c r="M1" s="4"/>
      <x:c r="N1" s="4"/>
      <x:c r="O1" s="1"/>
      <x:c r="P1" s="1"/>
      <x:c r="Q1" s="1"/>
      <x:c r="R1" s="1"/>
      <x:c r="S1" s="1"/>
      <x:c r="T1" s="1"/>
      <x:c r="U1" s="1"/>
      <x:c r="V1" s="1"/>
      <x:c r="W1" s="1"/>
      <x:c r="X1" s="1"/>
      <x:c r="Y1" s="1"/>
      <x:c r="Z1" s="1"/>
    </x:row>
    <x:row r="2" ht="25" customHeight="1">
      <x:c r="A2" s="4"/>
      <x:c r="B2" s="4"/>
      <x:c r="C2" s="4"/>
      <x:c r="D2" s="4"/>
      <x:c r="E2" s="4"/>
      <x:c r="F2" s="4"/>
      <x:c r="G2" s="4"/>
      <x:c r="H2" s="4"/>
      <x:c r="I2" s="4"/>
      <x:c r="J2" s="4"/>
      <x:c r="K2" s="4"/>
      <x:c r="L2" s="4"/>
      <x:c r="M2" s="4"/>
      <x:c r="N2" s="4"/>
      <x:c r="O2" s="1"/>
      <x:c r="P2" s="1"/>
      <x:c r="Q2" s="1"/>
      <x:c r="R2" s="1"/>
      <x:c r="S2" s="1"/>
      <x:c r="T2" s="1"/>
      <x:c r="U2" s="1"/>
      <x:c r="V2" s="1"/>
      <x:c r="W2" s="1"/>
      <x:c r="X2" s="1"/>
      <x:c r="Y2" s="1"/>
      <x:c r="Z2" s="1"/>
    </x:row>
    <x:row r="3" ht="25" customHeight="1">
      <x:c r="A3" s="7" t="str">
        <x:v>Weekly direct-method liquidity forecast · Selected scenario drives operating assumptions</x:v>
      </x:c>
      <x:c r="B3" s="7"/>
      <x:c r="C3" s="7"/>
      <x:c r="D3" s="7"/>
      <x:c r="E3" s="7"/>
      <x:c r="F3" s="7"/>
      <x:c r="G3" s="7"/>
      <x:c r="H3" s="7"/>
      <x:c r="I3" s="7"/>
      <x:c r="J3" s="7"/>
      <x:c r="K3" s="7"/>
      <x:c r="L3" s="7"/>
      <x:c r="M3" s="7"/>
      <x:c r="N3" s="7"/>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155" t="str">
        <x:v>Week</x:v>
      </x:c>
      <x:c r="B5" s="155" t="n">
        <x:v>1</x:v>
      </x:c>
      <x:c r="C5" s="155" t="n">
        <x:v>2</x:v>
      </x:c>
      <x:c r="D5" s="155" t="n">
        <x:v>3</x:v>
      </x:c>
      <x:c r="E5" s="155" t="n">
        <x:v>4</x:v>
      </x:c>
      <x:c r="F5" s="155" t="n">
        <x:v>5</x:v>
      </x:c>
      <x:c r="G5" s="155" t="n">
        <x:v>6</x:v>
      </x:c>
      <x:c r="H5" s="155" t="n">
        <x:v>7</x:v>
      </x:c>
      <x:c r="I5" s="155" t="n">
        <x:v>8</x:v>
      </x:c>
      <x:c r="J5" s="155" t="n">
        <x:v>9</x:v>
      </x:c>
      <x:c r="K5" s="155" t="n">
        <x:v>10</x:v>
      </x:c>
      <x:c r="L5" s="155" t="n">
        <x:v>11</x:v>
      </x:c>
      <x:c r="M5" s="155" t="n">
        <x:v>12</x:v>
      </x:c>
      <x:c r="N5" s="155" t="n">
        <x:v>13</x:v>
      </x:c>
      <x:c r="O5" s="1"/>
      <x:c r="P5" s="1"/>
      <x:c r="Q5" s="1"/>
      <x:c r="R5" s="1"/>
      <x:c r="S5" s="1"/>
      <x:c r="T5" s="1"/>
      <x:c r="U5" s="1"/>
      <x:c r="V5" s="1"/>
      <x:c r="W5" s="1"/>
      <x:c r="X5" s="1"/>
      <x:c r="Y5" s="1"/>
      <x:c r="Z5" s="1"/>
    </x:row>
    <x:row r="6">
      <x:c r="A6" s="155" t="str">
        <x:v>Week commencing</x:v>
      </x:c>
      <x:c r="B6" s="179" t="n">
        <x:f>'Assumptions'!$B$7+0</x:f>
        <x:v>46258</x:v>
      </x:c>
      <x:c r="C6" s="179" t="n">
        <x:f>'Assumptions'!$B$7+7</x:f>
        <x:v>46265</x:v>
      </x:c>
      <x:c r="D6" s="179" t="n">
        <x:f>'Assumptions'!$B$7+14</x:f>
        <x:v>46272</x:v>
      </x:c>
      <x:c r="E6" s="179" t="n">
        <x:f>'Assumptions'!$B$7+21</x:f>
        <x:v>46279</x:v>
      </x:c>
      <x:c r="F6" s="179" t="n">
        <x:f>'Assumptions'!$B$7+28</x:f>
        <x:v>46286</x:v>
      </x:c>
      <x:c r="G6" s="179" t="n">
        <x:f>'Assumptions'!$B$7+35</x:f>
        <x:v>46293</x:v>
      </x:c>
      <x:c r="H6" s="179" t="n">
        <x:f>'Assumptions'!$B$7+42</x:f>
        <x:v>46300</x:v>
      </x:c>
      <x:c r="I6" s="179" t="n">
        <x:f>'Assumptions'!$B$7+49</x:f>
        <x:v>46307</x:v>
      </x:c>
      <x:c r="J6" s="179" t="n">
        <x:f>'Assumptions'!$B$7+56</x:f>
        <x:v>46314</x:v>
      </x:c>
      <x:c r="K6" s="179" t="n">
        <x:f>'Assumptions'!$B$7+63</x:f>
        <x:v>46321</x:v>
      </x:c>
      <x:c r="L6" s="179" t="n">
        <x:f>'Assumptions'!$B$7+70</x:f>
        <x:v>46328</x:v>
      </x:c>
      <x:c r="M6" s="179" t="n">
        <x:f>'Assumptions'!$B$7+77</x:f>
        <x:v>46335</x:v>
      </x:c>
      <x:c r="N6" s="179" t="n">
        <x:f>'Assumptions'!$B$7+84</x:f>
        <x:v>46342</x:v>
      </x:c>
      <x:c r="O6" s="1"/>
      <x:c r="P6" s="1"/>
      <x:c r="Q6" s="1"/>
      <x:c r="R6" s="1"/>
      <x:c r="S6" s="1"/>
      <x:c r="T6" s="1"/>
      <x:c r="U6" s="1"/>
      <x:c r="V6" s="1"/>
      <x:c r="W6" s="1"/>
      <x:c r="X6" s="1"/>
      <x:c r="Y6" s="1"/>
      <x:c r="Z6" s="1"/>
    </x:row>
    <x:row r="7">
      <x:c r="A7" s="1"/>
      <x:c r="B7" s="1"/>
      <x:c r="C7" s="1"/>
      <x:c r="D7" s="1"/>
      <x:c r="E7" s="1"/>
      <x:c r="F7" s="1"/>
      <x:c r="G7" s="1"/>
      <x:c r="H7" s="1"/>
      <x:c r="I7" s="1"/>
      <x:c r="J7" s="1"/>
      <x:c r="K7" s="1"/>
      <x:c r="L7" s="1"/>
      <x:c r="M7" s="1"/>
      <x:c r="N7" s="1"/>
      <x:c r="O7" s="1"/>
      <x:c r="P7" s="1"/>
      <x:c r="Q7" s="1"/>
      <x:c r="R7" s="1"/>
      <x:c r="S7" s="1"/>
      <x:c r="T7" s="1"/>
      <x:c r="U7" s="1"/>
      <x:c r="V7" s="1"/>
      <x:c r="W7" s="1"/>
      <x:c r="X7" s="1"/>
      <x:c r="Y7" s="1"/>
      <x:c r="Z7" s="1"/>
    </x:row>
    <x:row r="8">
      <x:c r="A8" s="108" t="str">
        <x:v>Beginning cash</x:v>
      </x:c>
      <x:c r="B8" s="167" t="n">
        <x:f>'Assumptions'!$B$8</x:f>
        <x:v>900000</x:v>
      </x:c>
      <x:c r="C8" s="167" t="n">
        <x:f>B29</x:f>
        <x:v>500000</x:v>
      </x:c>
      <x:c r="D8" s="167" t="n">
        <x:f>C29</x:f>
        <x:v>500000</x:v>
      </x:c>
      <x:c r="E8" s="167" t="n">
        <x:f>D29</x:f>
        <x:v>333650</x:v>
      </x:c>
      <x:c r="F8" s="167" t="n">
        <x:f>E29</x:f>
        <x:v>159300</x:v>
      </x:c>
      <x:c r="G8" s="167" t="n">
        <x:f>F29</x:f>
        <x:v>-20800</x:v>
      </x:c>
      <x:c r="H8" s="167" t="n">
        <x:f>G29</x:f>
        <x:v>-279640</x:v>
      </x:c>
      <x:c r="I8" s="167" t="n">
        <x:f>H29</x:f>
        <x:v>-712710</x:v>
      </x:c>
      <x:c r="J8" s="167" t="n">
        <x:f>I29</x:f>
        <x:v>-990210</x:v>
      </x:c>
      <x:c r="K8" s="167" t="n">
        <x:f>J29</x:f>
        <x:v>-1261170</x:v>
      </x:c>
      <x:c r="L8" s="167" t="n">
        <x:f>K29</x:f>
        <x:v>-1537410</x:v>
      </x:c>
      <x:c r="M8" s="167" t="n">
        <x:f>L29</x:f>
        <x:v>-1869330</x:v>
      </x:c>
      <x:c r="N8" s="167" t="n">
        <x:f>M29</x:f>
        <x:v>-2201250</x:v>
      </x:c>
      <x:c r="O8" s="1"/>
      <x:c r="P8" s="1"/>
      <x:c r="Q8" s="1"/>
      <x:c r="R8" s="1"/>
      <x:c r="S8" s="1"/>
      <x:c r="T8" s="1"/>
      <x:c r="U8" s="1"/>
      <x:c r="V8" s="1"/>
      <x:c r="W8" s="1"/>
      <x:c r="X8" s="1"/>
      <x:c r="Y8" s="1"/>
      <x:c r="Z8" s="1"/>
    </x:row>
    <x:row r="9">
      <x:c r="A9" s="109" t="str">
        <x:v>Forecast sales</x:v>
      </x:c>
      <x:c r="B9" s="168" t="n">
        <x:f>'Assumptions'!$B$14*'Assumptions'!$E$6</x:f>
        <x:v>520000</x:v>
      </x:c>
      <x:c r="C9" s="168" t="n">
        <x:f>'Assumptions'!$B$14*'Assumptions'!$E$6</x:f>
        <x:v>520000</x:v>
      </x:c>
      <x:c r="D9" s="168" t="n">
        <x:f>'Assumptions'!$B$14*'Assumptions'!$E$6</x:f>
        <x:v>520000</x:v>
      </x:c>
      <x:c r="E9" s="168" t="n">
        <x:f>'Assumptions'!$B$14*'Assumptions'!$E$6</x:f>
        <x:v>520000</x:v>
      </x:c>
      <x:c r="F9" s="168" t="n">
        <x:f>'Assumptions'!$B$14*'Assumptions'!$E$6</x:f>
        <x:v>520000</x:v>
      </x:c>
      <x:c r="G9" s="168" t="n">
        <x:f>'Assumptions'!$B$14*'Assumptions'!$E$6</x:f>
        <x:v>520000</x:v>
      </x:c>
      <x:c r="H9" s="168" t="n">
        <x:f>'Assumptions'!$B$14*'Assumptions'!$E$6</x:f>
        <x:v>520000</x:v>
      </x:c>
      <x:c r="I9" s="168" t="n">
        <x:f>'Assumptions'!$B$14*'Assumptions'!$E$6</x:f>
        <x:v>520000</x:v>
      </x:c>
      <x:c r="J9" s="168" t="n">
        <x:f>'Assumptions'!$B$14*'Assumptions'!$E$6</x:f>
        <x:v>520000</x:v>
      </x:c>
      <x:c r="K9" s="168" t="n">
        <x:f>'Assumptions'!$B$14*'Assumptions'!$E$6</x:f>
        <x:v>520000</x:v>
      </x:c>
      <x:c r="L9" s="168" t="n">
        <x:f>'Assumptions'!$B$14*'Assumptions'!$E$6</x:f>
        <x:v>520000</x:v>
      </x:c>
      <x:c r="M9" s="168" t="n">
        <x:f>'Assumptions'!$B$14*'Assumptions'!$E$6</x:f>
        <x:v>520000</x:v>
      </x:c>
      <x:c r="N9" s="168" t="n">
        <x:f>'Assumptions'!$B$14*'Assumptions'!$E$6</x:f>
        <x:v>520000</x:v>
      </x:c>
      <x:c r="O9" s="1"/>
      <x:c r="P9" s="1"/>
      <x:c r="Q9" s="1"/>
      <x:c r="R9" s="1"/>
      <x:c r="S9" s="1"/>
      <x:c r="T9" s="1"/>
      <x:c r="U9" s="1"/>
      <x:c r="V9" s="1"/>
      <x:c r="W9" s="1"/>
      <x:c r="X9" s="1"/>
      <x:c r="Y9" s="1"/>
      <x:c r="Z9" s="1"/>
    </x:row>
    <x:row r="10">
      <x:c r="A10" s="109" t="str">
        <x:v>Opening AR collections</x:v>
      </x:c>
      <x:c r="B10" s="168" t="n">
        <x:f>SUMIF('AR_Collections'!$G$6:$G$30,B$5,'AR_Collections'!$H$6:$H$30)</x:f>
        <x:v>396520</x:v>
      </x:c>
      <x:c r="C10" s="168" t="n">
        <x:f>SUMIF('AR_Collections'!$G$6:$G$30,C$5,'AR_Collections'!$H$6:$H$30)</x:f>
        <x:v>371800</x:v>
      </x:c>
      <x:c r="D10" s="168" t="n">
        <x:f>SUMIF('AR_Collections'!$G$6:$G$30,D$5,'AR_Collections'!$H$6:$H$30)</x:f>
        <x:v>356040</x:v>
      </x:c>
      <x:c r="E10" s="168" t="n">
        <x:f>SUMIF('AR_Collections'!$G$6:$G$30,E$5,'AR_Collections'!$H$6:$H$30)</x:f>
        <x:v>332320</x:v>
      </x:c>
      <x:c r="F10" s="168" t="n">
        <x:f>SUMIF('AR_Collections'!$G$6:$G$30,F$5,'AR_Collections'!$H$6:$H$30)</x:f>
        <x:v>327520</x:v>
      </x:c>
      <x:c r="G10" s="168" t="n">
        <x:f>SUMIF('AR_Collections'!$G$6:$G$30,G$5,'AR_Collections'!$H$6:$H$30)</x:f>
        <x:v>253080</x:v>
      </x:c>
      <x:c r="H10" s="168" t="n">
        <x:f>SUMIF('AR_Collections'!$G$6:$G$30,H$5,'AR_Collections'!$H$6:$H$30)</x:f>
        <x:v>248400</x:v>
      </x:c>
      <x:c r="I10" s="168" t="n">
        <x:f>SUMIF('AR_Collections'!$G$6:$G$30,I$5,'AR_Collections'!$H$6:$H$30)</x:f>
        <x:v>231120</x:v>
      </x:c>
      <x:c r="J10" s="168" t="n">
        <x:f>SUMIF('AR_Collections'!$G$6:$G$30,J$5,'AR_Collections'!$H$6:$H$30)</x:f>
        <x:v>228160</x:v>
      </x:c>
      <x:c r="K10" s="168" t="n">
        <x:f>SUMIF('AR_Collections'!$G$6:$G$30,K$5,'AR_Collections'!$H$6:$H$30)</x:f>
        <x:v>215280</x:v>
      </x:c>
      <x:c r="L10" s="168" t="n">
        <x:f>SUMIF('AR_Collections'!$G$6:$G$30,L$5,'AR_Collections'!$H$6:$H$30)</x:f>
        <x:v>0</x:v>
      </x:c>
      <x:c r="M10" s="168" t="n">
        <x:f>SUMIF('AR_Collections'!$G$6:$G$30,M$5,'AR_Collections'!$H$6:$H$30)</x:f>
        <x:v>0</x:v>
      </x:c>
      <x:c r="N10" s="168" t="n">
        <x:f>SUMIF('AR_Collections'!$G$6:$G$30,N$5,'AR_Collections'!$H$6:$H$30)</x:f>
        <x:v>0</x:v>
      </x:c>
      <x:c r="O10" s="1"/>
      <x:c r="P10" s="1"/>
      <x:c r="Q10" s="1"/>
      <x:c r="R10" s="1"/>
      <x:c r="S10" s="1"/>
      <x:c r="T10" s="1"/>
      <x:c r="U10" s="1"/>
      <x:c r="V10" s="1"/>
      <x:c r="W10" s="1"/>
      <x:c r="X10" s="1"/>
      <x:c r="Y10" s="1"/>
      <x:c r="Z10" s="1"/>
    </x:row>
    <x:row r="11">
      <x:c r="A11" s="109" t="str">
        <x:v>New-sales collections</x:v>
      </x:c>
      <x:c r="B11" s="168" t="n">
        <x:f>0</x:f>
        <x:v>0</x:v>
      </x:c>
      <x:c r="C11" s="168" t="n">
        <x:f>0</x:f>
        <x:v>0</x:v>
      </x:c>
      <x:c r="D11" s="168" t="n">
        <x:f>B9*'Assumptions'!$B$16</x:f>
        <x:v>364000</x:v>
      </x:c>
      <x:c r="E11" s="168" t="n">
        <x:f>C9*'Assumptions'!$B$16</x:f>
        <x:v>364000</x:v>
      </x:c>
      <x:c r="F11" s="168" t="n">
        <x:f>D9*'Assumptions'!$B$16</x:f>
        <x:v>364000</x:v>
      </x:c>
      <x:c r="G11" s="168" t="n">
        <x:f>E9*'Assumptions'!$B$16</x:f>
        <x:v>364000</x:v>
      </x:c>
      <x:c r="H11" s="168" t="n">
        <x:f>F9*'Assumptions'!$B$16</x:f>
        <x:v>364000</x:v>
      </x:c>
      <x:c r="I11" s="168" t="n">
        <x:f>G9*'Assumptions'!$B$16</x:f>
        <x:v>364000</x:v>
      </x:c>
      <x:c r="J11" s="168" t="n">
        <x:f>H9*'Assumptions'!$B$16</x:f>
        <x:v>364000</x:v>
      </x:c>
      <x:c r="K11" s="168" t="n">
        <x:f>I9*'Assumptions'!$B$16</x:f>
        <x:v>364000</x:v>
      </x:c>
      <x:c r="L11" s="168" t="n">
        <x:f>J9*'Assumptions'!$B$16</x:f>
        <x:v>364000</x:v>
      </x:c>
      <x:c r="M11" s="168" t="n">
        <x:f>K9*'Assumptions'!$B$16</x:f>
        <x:v>364000</x:v>
      </x:c>
      <x:c r="N11" s="168" t="n">
        <x:f>L9*'Assumptions'!$B$16</x:f>
        <x:v>364000</x:v>
      </x:c>
      <x:c r="O11" s="1"/>
      <x:c r="P11" s="1"/>
      <x:c r="Q11" s="1"/>
      <x:c r="R11" s="1"/>
      <x:c r="S11" s="1"/>
      <x:c r="T11" s="1"/>
      <x:c r="U11" s="1"/>
      <x:c r="V11" s="1"/>
      <x:c r="W11" s="1"/>
      <x:c r="X11" s="1"/>
      <x:c r="Y11" s="1"/>
      <x:c r="Z11" s="1"/>
    </x:row>
    <x:row r="12">
      <x:c r="A12" s="109" t="str">
        <x:v>Other inflows</x:v>
      </x:c>
      <x:c r="B12" s="168" t="n">
        <x:f>0</x:f>
        <x:v>0</x:v>
      </x:c>
      <x:c r="C12" s="168" t="n">
        <x:f>0</x:f>
        <x:v>0</x:v>
      </x:c>
      <x:c r="D12" s="168" t="n">
        <x:f>0</x:f>
        <x:v>0</x:v>
      </x:c>
      <x:c r="E12" s="168" t="n">
        <x:f>0</x:f>
        <x:v>0</x:v>
      </x:c>
      <x:c r="F12" s="168" t="n">
        <x:f>0</x:f>
        <x:v>0</x:v>
      </x:c>
      <x:c r="G12" s="168" t="n">
        <x:f>0</x:f>
        <x:v>0</x:v>
      </x:c>
      <x:c r="H12" s="168" t="n">
        <x:f>0</x:f>
        <x:v>0</x:v>
      </x:c>
      <x:c r="I12" s="168" t="n">
        <x:f>0</x:f>
        <x:v>0</x:v>
      </x:c>
      <x:c r="J12" s="168" t="n">
        <x:f>0</x:f>
        <x:v>0</x:v>
      </x:c>
      <x:c r="K12" s="168" t="n">
        <x:f>0</x:f>
        <x:v>0</x:v>
      </x:c>
      <x:c r="L12" s="168" t="n">
        <x:f>0</x:f>
        <x:v>0</x:v>
      </x:c>
      <x:c r="M12" s="168" t="n">
        <x:f>0</x:f>
        <x:v>0</x:v>
      </x:c>
      <x:c r="N12" s="168" t="n">
        <x:f>0</x:f>
        <x:v>0</x:v>
      </x:c>
      <x:c r="O12" s="1"/>
      <x:c r="P12" s="1"/>
      <x:c r="Q12" s="1"/>
      <x:c r="R12" s="1"/>
      <x:c r="S12" s="1"/>
      <x:c r="T12" s="1"/>
      <x:c r="U12" s="1"/>
      <x:c r="V12" s="1"/>
      <x:c r="W12" s="1"/>
      <x:c r="X12" s="1"/>
      <x:c r="Y12" s="1"/>
      <x:c r="Z12" s="1"/>
    </x:row>
    <x:row r="13">
      <x:c r="A13" s="184" t="str">
        <x:v>TOTAL INFLOWS</x:v>
      </x:c>
      <x:c r="B13" s="210" t="n">
        <x:f>SUM(B10:B12)</x:f>
        <x:v>396520</x:v>
      </x:c>
      <x:c r="C13" s="210" t="n">
        <x:f>SUM(C10:C12)</x:f>
        <x:v>371800</x:v>
      </x:c>
      <x:c r="D13" s="210" t="n">
        <x:f>SUM(D10:D12)</x:f>
        <x:v>720040</x:v>
      </x:c>
      <x:c r="E13" s="210" t="n">
        <x:f>SUM(E10:E12)</x:f>
        <x:v>696320</x:v>
      </x:c>
      <x:c r="F13" s="210" t="n">
        <x:f>SUM(F10:F12)</x:f>
        <x:v>691520</x:v>
      </x:c>
      <x:c r="G13" s="210" t="n">
        <x:f>SUM(G10:G12)</x:f>
        <x:v>617080</x:v>
      </x:c>
      <x:c r="H13" s="210" t="n">
        <x:f>SUM(H10:H12)</x:f>
        <x:v>612400</x:v>
      </x:c>
      <x:c r="I13" s="210" t="n">
        <x:f>SUM(I10:I12)</x:f>
        <x:v>595120</x:v>
      </x:c>
      <x:c r="J13" s="210" t="n">
        <x:f>SUM(J10:J12)</x:f>
        <x:v>592160</x:v>
      </x:c>
      <x:c r="K13" s="210" t="n">
        <x:f>SUM(K10:K12)</x:f>
        <x:v>579280</x:v>
      </x:c>
      <x:c r="L13" s="210" t="n">
        <x:f>SUM(L10:L12)</x:f>
        <x:v>364000</x:v>
      </x:c>
      <x:c r="M13" s="210" t="n">
        <x:f>SUM(M10:M12)</x:f>
        <x:v>364000</x:v>
      </x:c>
      <x:c r="N13" s="210" t="n">
        <x:f>SUM(N10:N12)</x:f>
        <x:v>364000</x:v>
      </x:c>
      <x:c r="O13" s="1"/>
      <x:c r="P13" s="1"/>
      <x:c r="Q13" s="1"/>
      <x:c r="R13" s="1"/>
      <x:c r="S13" s="1"/>
      <x:c r="T13" s="1"/>
      <x:c r="U13" s="1"/>
      <x:c r="V13" s="1"/>
      <x:c r="W13" s="1"/>
      <x:c r="X13" s="1"/>
      <x:c r="Y13" s="1"/>
      <x:c r="Z13" s="1"/>
    </x:row>
    <x:row r="14">
      <x:c r="A14" s="109"/>
      <x:c r="B14" s="168"/>
      <x:c r="C14" s="168"/>
      <x:c r="D14" s="168"/>
      <x:c r="E14" s="168"/>
      <x:c r="F14" s="168"/>
      <x:c r="G14" s="168"/>
      <x:c r="H14" s="168"/>
      <x:c r="I14" s="168"/>
      <x:c r="J14" s="168"/>
      <x:c r="K14" s="168"/>
      <x:c r="L14" s="168"/>
      <x:c r="M14" s="168"/>
      <x:c r="N14" s="168"/>
      <x:c r="O14" s="1"/>
      <x:c r="P14" s="1"/>
      <x:c r="Q14" s="1"/>
      <x:c r="R14" s="1"/>
      <x:c r="S14" s="1"/>
      <x:c r="T14" s="1"/>
      <x:c r="U14" s="1"/>
      <x:c r="V14" s="1"/>
      <x:c r="W14" s="1"/>
      <x:c r="X14" s="1"/>
      <x:c r="Y14" s="1"/>
      <x:c r="Z14" s="1"/>
    </x:row>
    <x:row r="15">
      <x:c r="A15" s="109" t="str">
        <x:v>Opening AP payments</x:v>
      </x:c>
      <x:c r="B15" s="168" t="n">
        <x:f>SUMIF('AP_Payments'!$G$6:$G$25,B$5,'AP_Payments'!$H$6:$H$25)</x:f>
        <x:v>260000</x:v>
      </x:c>
      <x:c r="C15" s="168" t="n">
        <x:f>SUMIF('AP_Payments'!$G$6:$G$25,C$5,'AP_Payments'!$H$6:$H$25)</x:f>
        <x:v>234650</x:v>
      </x:c>
      <x:c r="D15" s="168" t="n">
        <x:f>SUMIF('AP_Payments'!$G$6:$G$25,D$5,'AP_Payments'!$H$6:$H$25)</x:f>
        <x:v>222300</x:v>
      </x:c>
      <x:c r="E15" s="168" t="n">
        <x:f>SUMIF('AP_Payments'!$G$6:$G$25,E$5,'AP_Payments'!$H$6:$H$25)</x:f>
        <x:v>209000</x:v>
      </x:c>
      <x:c r="F15" s="168" t="n">
        <x:f>SUMIF('AP_Payments'!$G$6:$G$25,F$5,'AP_Payments'!$H$6:$H$25)</x:f>
        <x:v>201400</x:v>
      </x:c>
      <x:c r="G15" s="168" t="n">
        <x:f>SUMIF('AP_Payments'!$G$6:$G$25,G$5,'AP_Payments'!$H$6:$H$25)</x:f>
        <x:v>203000</x:v>
      </x:c>
      <x:c r="H15" s="168" t="n">
        <x:f>SUMIF('AP_Payments'!$G$6:$G$25,H$5,'AP_Payments'!$H$6:$H$25)</x:f>
        <x:v>184300</x:v>
      </x:c>
      <x:c r="I15" s="168" t="n">
        <x:f>SUMIF('AP_Payments'!$G$6:$G$25,I$5,'AP_Payments'!$H$6:$H$25)</x:f>
        <x:v>176700</x:v>
      </x:c>
      <x:c r="J15" s="168" t="n">
        <x:f>SUMIF('AP_Payments'!$G$6:$G$25,J$5,'AP_Payments'!$H$6:$H$25)</x:f>
        <x:v>167200</x:v>
      </x:c>
      <x:c r="K15" s="168" t="n">
        <x:f>SUMIF('AP_Payments'!$G$6:$G$25,K$5,'AP_Payments'!$H$6:$H$25)</x:f>
        <x:v>159600</x:v>
      </x:c>
      <x:c r="L15" s="168" t="n">
        <x:f>SUMIF('AP_Payments'!$G$6:$G$25,L$5,'AP_Payments'!$H$6:$H$25)</x:f>
        <x:v>0</x:v>
      </x:c>
      <x:c r="M15" s="168" t="n">
        <x:f>SUMIF('AP_Payments'!$G$6:$G$25,M$5,'AP_Payments'!$H$6:$H$25)</x:f>
        <x:v>0</x:v>
      </x:c>
      <x:c r="N15" s="168" t="n">
        <x:f>SUMIF('AP_Payments'!$G$6:$G$25,N$5,'AP_Payments'!$H$6:$H$25)</x:f>
        <x:v>0</x:v>
      </x:c>
      <x:c r="O15" s="1"/>
      <x:c r="P15" s="1"/>
      <x:c r="Q15" s="1"/>
      <x:c r="R15" s="1"/>
      <x:c r="S15" s="1"/>
      <x:c r="T15" s="1"/>
      <x:c r="U15" s="1"/>
      <x:c r="V15" s="1"/>
      <x:c r="W15" s="1"/>
      <x:c r="X15" s="1"/>
      <x:c r="Y15" s="1"/>
      <x:c r="Z15" s="1"/>
    </x:row>
    <x:row r="16">
      <x:c r="A16" s="109" t="str">
        <x:v>Current supplier purchases</x:v>
      </x:c>
      <x:c r="B16" s="168" t="n">
        <x:f>B9*(1-'Assumptions'!$B$15)*'Assumptions'!$E$9</x:f>
        <x:v>335919.99999999994</x:v>
      </x:c>
      <x:c r="C16" s="168" t="n">
        <x:f>C9*(1-'Assumptions'!$B$15)*'Assumptions'!$E$9</x:f>
        <x:v>335919.99999999994</x:v>
      </x:c>
      <x:c r="D16" s="168" t="n">
        <x:f>D9*(1-'Assumptions'!$B$15)*'Assumptions'!$E$9</x:f>
        <x:v>335919.99999999994</x:v>
      </x:c>
      <x:c r="E16" s="168" t="n">
        <x:f>E9*(1-'Assumptions'!$B$15)*'Assumptions'!$E$9</x:f>
        <x:v>335919.99999999994</x:v>
      </x:c>
      <x:c r="F16" s="168" t="n">
        <x:f>F9*(1-'Assumptions'!$B$15)*'Assumptions'!$E$9</x:f>
        <x:v>335919.99999999994</x:v>
      </x:c>
      <x:c r="G16" s="168" t="n">
        <x:f>G9*(1-'Assumptions'!$B$15)*'Assumptions'!$E$9</x:f>
        <x:v>335919.99999999994</x:v>
      </x:c>
      <x:c r="H16" s="168" t="n">
        <x:f>H9*(1-'Assumptions'!$B$15)*'Assumptions'!$E$9</x:f>
        <x:v>335919.99999999994</x:v>
      </x:c>
      <x:c r="I16" s="168" t="n">
        <x:f>I9*(1-'Assumptions'!$B$15)*'Assumptions'!$E$9</x:f>
        <x:v>335919.99999999994</x:v>
      </x:c>
      <x:c r="J16" s="168" t="n">
        <x:f>J9*(1-'Assumptions'!$B$15)*'Assumptions'!$E$9</x:f>
        <x:v>335919.99999999994</x:v>
      </x:c>
      <x:c r="K16" s="168" t="n">
        <x:f>K9*(1-'Assumptions'!$B$15)*'Assumptions'!$E$9</x:f>
        <x:v>335919.99999999994</x:v>
      </x:c>
      <x:c r="L16" s="168" t="n">
        <x:f>L9*(1-'Assumptions'!$B$15)*'Assumptions'!$E$9</x:f>
        <x:v>335919.99999999994</x:v>
      </x:c>
      <x:c r="M16" s="168" t="n">
        <x:f>M9*(1-'Assumptions'!$B$15)*'Assumptions'!$E$9</x:f>
        <x:v>335919.99999999994</x:v>
      </x:c>
      <x:c r="N16" s="168" t="n">
        <x:f>N9*(1-'Assumptions'!$B$15)*'Assumptions'!$E$9</x:f>
        <x:v>335919.99999999994</x:v>
      </x:c>
      <x:c r="O16" s="1"/>
      <x:c r="P16" s="1"/>
      <x:c r="Q16" s="1"/>
      <x:c r="R16" s="1"/>
      <x:c r="S16" s="1"/>
      <x:c r="T16" s="1"/>
      <x:c r="U16" s="1"/>
      <x:c r="V16" s="1"/>
      <x:c r="W16" s="1"/>
      <x:c r="X16" s="1"/>
      <x:c r="Y16" s="1"/>
      <x:c r="Z16" s="1"/>
    </x:row>
    <x:row r="17">
      <x:c r="A17" s="109" t="str">
        <x:v>Inventory purchase deferral</x:v>
      </x:c>
      <x:c r="B17" s="168" t="n">
        <x:f>SUMIF('Inventory'!$J$6:$J$15,B$5,'Inventory'!$I$6:$I$15)</x:f>
        <x:v>0</x:v>
      </x:c>
      <x:c r="C17" s="168" t="n">
        <x:f>SUMIF('Inventory'!$J$6:$J$15,C$5,'Inventory'!$I$6:$I$15)</x:f>
        <x:v>0</x:v>
      </x:c>
      <x:c r="D17" s="168" t="n">
        <x:f>SUMIF('Inventory'!$J$6:$J$15,D$5,'Inventory'!$I$6:$I$15)</x:f>
        <x:v>0</x:v>
      </x:c>
      <x:c r="E17" s="168" t="n">
        <x:f>SUMIF('Inventory'!$J$6:$J$15,E$5,'Inventory'!$I$6:$I$15)</x:f>
        <x:v>34250</x:v>
      </x:c>
      <x:c r="F17" s="168" t="n">
        <x:f>SUMIF('Inventory'!$J$6:$J$15,F$5,'Inventory'!$I$6:$I$15)</x:f>
        <x:v>25700</x:v>
      </x:c>
      <x:c r="G17" s="168" t="n">
        <x:f>SUMIF('Inventory'!$J$6:$J$15,G$5,'Inventory'!$I$6:$I$15)</x:f>
        <x:v>23000</x:v>
      </x:c>
      <x:c r="H17" s="168" t="n">
        <x:f>SUMIF('Inventory'!$J$6:$J$15,H$5,'Inventory'!$I$6:$I$15)</x:f>
        <x:v>14750</x:v>
      </x:c>
      <x:c r="I17" s="168" t="n">
        <x:f>SUMIF('Inventory'!$J$6:$J$15,I$5,'Inventory'!$I$6:$I$15)</x:f>
        <x:v>0</x:v>
      </x:c>
      <x:c r="J17" s="168" t="n">
        <x:f>SUMIF('Inventory'!$J$6:$J$15,J$5,'Inventory'!$I$6:$I$15)</x:f>
        <x:v>0</x:v>
      </x:c>
      <x:c r="K17" s="168" t="n">
        <x:f>SUMIF('Inventory'!$J$6:$J$15,K$5,'Inventory'!$I$6:$I$15)</x:f>
        <x:v>0</x:v>
      </x:c>
      <x:c r="L17" s="168" t="n">
        <x:f>SUMIF('Inventory'!$J$6:$J$15,L$5,'Inventory'!$I$6:$I$15)</x:f>
        <x:v>0</x:v>
      </x:c>
      <x:c r="M17" s="168" t="n">
        <x:f>SUMIF('Inventory'!$J$6:$J$15,M$5,'Inventory'!$I$6:$I$15)</x:f>
        <x:v>0</x:v>
      </x:c>
      <x:c r="N17" s="168" t="n">
        <x:f>SUMIF('Inventory'!$J$6:$J$15,N$5,'Inventory'!$I$6:$I$15)</x:f>
        <x:v>0</x:v>
      </x:c>
      <x:c r="O17" s="1"/>
      <x:c r="P17" s="1"/>
      <x:c r="Q17" s="1"/>
      <x:c r="R17" s="1"/>
      <x:c r="S17" s="1"/>
      <x:c r="T17" s="1"/>
      <x:c r="U17" s="1"/>
      <x:c r="V17" s="1"/>
      <x:c r="W17" s="1"/>
      <x:c r="X17" s="1"/>
      <x:c r="Y17" s="1"/>
      <x:c r="Z17" s="1"/>
    </x:row>
    <x:row r="18">
      <x:c r="A18" s="109" t="str">
        <x:v>Payroll</x:v>
      </x:c>
      <x:c r="B18" s="168" t="n">
        <x:f>'Assumptions'!$B$17</x:f>
        <x:v>165000</x:v>
      </x:c>
      <x:c r="C18" s="168" t="n">
        <x:f>'Assumptions'!$B$17</x:f>
        <x:v>165000</x:v>
      </x:c>
      <x:c r="D18" s="168" t="n">
        <x:f>'Assumptions'!$B$17</x:f>
        <x:v>165000</x:v>
      </x:c>
      <x:c r="E18" s="168" t="n">
        <x:f>'Assumptions'!$B$17</x:f>
        <x:v>165000</x:v>
      </x:c>
      <x:c r="F18" s="168" t="n">
        <x:f>'Assumptions'!$B$17</x:f>
        <x:v>165000</x:v>
      </x:c>
      <x:c r="G18" s="168" t="n">
        <x:f>'Assumptions'!$B$17</x:f>
        <x:v>165000</x:v>
      </x:c>
      <x:c r="H18" s="168" t="n">
        <x:f>'Assumptions'!$B$17</x:f>
        <x:v>165000</x:v>
      </x:c>
      <x:c r="I18" s="168" t="n">
        <x:f>'Assumptions'!$B$17</x:f>
        <x:v>165000</x:v>
      </x:c>
      <x:c r="J18" s="168" t="n">
        <x:f>'Assumptions'!$B$17</x:f>
        <x:v>165000</x:v>
      </x:c>
      <x:c r="K18" s="168" t="n">
        <x:f>'Assumptions'!$B$17</x:f>
        <x:v>165000</x:v>
      </x:c>
      <x:c r="L18" s="168" t="n">
        <x:f>'Assumptions'!$B$17</x:f>
        <x:v>165000</x:v>
      </x:c>
      <x:c r="M18" s="168" t="n">
        <x:f>'Assumptions'!$B$17</x:f>
        <x:v>165000</x:v>
      </x:c>
      <x:c r="N18" s="168" t="n">
        <x:f>'Assumptions'!$B$17</x:f>
        <x:v>165000</x:v>
      </x:c>
      <x:c r="O18" s="1"/>
      <x:c r="P18" s="1"/>
      <x:c r="Q18" s="1"/>
      <x:c r="R18" s="1"/>
      <x:c r="S18" s="1"/>
      <x:c r="T18" s="1"/>
      <x:c r="U18" s="1"/>
      <x:c r="V18" s="1"/>
      <x:c r="W18" s="1"/>
      <x:c r="X18" s="1"/>
      <x:c r="Y18" s="1"/>
      <x:c r="Z18" s="1"/>
    </x:row>
    <x:row r="19">
      <x:c r="A19" s="109" t="str">
        <x:v>Operating expenses</x:v>
      </x:c>
      <x:c r="B19" s="168" t="n">
        <x:f>'Assumptions'!$B$18*'Assumptions'!$E$10</x:f>
        <x:v>95000</x:v>
      </x:c>
      <x:c r="C19" s="168" t="n">
        <x:f>'Assumptions'!$B$18*'Assumptions'!$E$10</x:f>
        <x:v>95000</x:v>
      </x:c>
      <x:c r="D19" s="168" t="n">
        <x:f>'Assumptions'!$B$18*'Assumptions'!$E$10</x:f>
        <x:v>95000</x:v>
      </x:c>
      <x:c r="E19" s="168" t="n">
        <x:f>'Assumptions'!$B$18*'Assumptions'!$E$10</x:f>
        <x:v>95000</x:v>
      </x:c>
      <x:c r="F19" s="168" t="n">
        <x:f>'Assumptions'!$B$18*'Assumptions'!$E$10</x:f>
        <x:v>95000</x:v>
      </x:c>
      <x:c r="G19" s="168" t="n">
        <x:f>'Assumptions'!$B$18*'Assumptions'!$E$10</x:f>
        <x:v>95000</x:v>
      </x:c>
      <x:c r="H19" s="168" t="n">
        <x:f>'Assumptions'!$B$18*'Assumptions'!$E$10</x:f>
        <x:v>95000</x:v>
      </x:c>
      <x:c r="I19" s="168" t="n">
        <x:f>'Assumptions'!$B$18*'Assumptions'!$E$10</x:f>
        <x:v>95000</x:v>
      </x:c>
      <x:c r="J19" s="168" t="n">
        <x:f>'Assumptions'!$B$18*'Assumptions'!$E$10</x:f>
        <x:v>95000</x:v>
      </x:c>
      <x:c r="K19" s="168" t="n">
        <x:f>'Assumptions'!$B$18*'Assumptions'!$E$10</x:f>
        <x:v>95000</x:v>
      </x:c>
      <x:c r="L19" s="168" t="n">
        <x:f>'Assumptions'!$B$18*'Assumptions'!$E$10</x:f>
        <x:v>95000</x:v>
      </x:c>
      <x:c r="M19" s="168" t="n">
        <x:f>'Assumptions'!$B$18*'Assumptions'!$E$10</x:f>
        <x:v>95000</x:v>
      </x:c>
      <x:c r="N19" s="168" t="n">
        <x:f>'Assumptions'!$B$18*'Assumptions'!$E$10</x:f>
        <x:v>95000</x:v>
      </x:c>
      <x:c r="O19" s="1"/>
      <x:c r="P19" s="1"/>
      <x:c r="Q19" s="1"/>
      <x:c r="R19" s="1"/>
      <x:c r="S19" s="1"/>
      <x:c r="T19" s="1"/>
      <x:c r="U19" s="1"/>
      <x:c r="V19" s="1"/>
      <x:c r="W19" s="1"/>
      <x:c r="X19" s="1"/>
      <x:c r="Y19" s="1"/>
      <x:c r="Z19" s="1"/>
    </x:row>
    <x:row r="20">
      <x:c r="A20" s="109" t="str">
        <x:v>Rent</x:v>
      </x:c>
      <x:c r="B20" s="168" t="n">
        <x:f>'Assumptions'!$B$19</x:f>
        <x:v>28000</x:v>
      </x:c>
      <x:c r="C20" s="168" t="n">
        <x:f>'Assumptions'!$B$19</x:f>
        <x:v>28000</x:v>
      </x:c>
      <x:c r="D20" s="168" t="n">
        <x:f>'Assumptions'!$B$19</x:f>
        <x:v>28000</x:v>
      </x:c>
      <x:c r="E20" s="168" t="n">
        <x:f>'Assumptions'!$B$19</x:f>
        <x:v>28000</x:v>
      </x:c>
      <x:c r="F20" s="168" t="n">
        <x:f>'Assumptions'!$B$19</x:f>
        <x:v>28000</x:v>
      </x:c>
      <x:c r="G20" s="168" t="n">
        <x:f>'Assumptions'!$B$19</x:f>
        <x:v>28000</x:v>
      </x:c>
      <x:c r="H20" s="168" t="n">
        <x:f>'Assumptions'!$B$19</x:f>
        <x:v>28000</x:v>
      </x:c>
      <x:c r="I20" s="168" t="n">
        <x:f>'Assumptions'!$B$19</x:f>
        <x:v>28000</x:v>
      </x:c>
      <x:c r="J20" s="168" t="n">
        <x:f>'Assumptions'!$B$19</x:f>
        <x:v>28000</x:v>
      </x:c>
      <x:c r="K20" s="168" t="n">
        <x:f>'Assumptions'!$B$19</x:f>
        <x:v>28000</x:v>
      </x:c>
      <x:c r="L20" s="168" t="n">
        <x:f>'Assumptions'!$B$19</x:f>
        <x:v>28000</x:v>
      </x:c>
      <x:c r="M20" s="168" t="n">
        <x:f>'Assumptions'!$B$19</x:f>
        <x:v>28000</x:v>
      </x:c>
      <x:c r="N20" s="168" t="n">
        <x:f>'Assumptions'!$B$19</x:f>
        <x:v>28000</x:v>
      </x:c>
      <x:c r="O20" s="1"/>
      <x:c r="P20" s="1"/>
      <x:c r="Q20" s="1"/>
      <x:c r="R20" s="1"/>
      <x:c r="S20" s="1"/>
      <x:c r="T20" s="1"/>
      <x:c r="U20" s="1"/>
      <x:c r="V20" s="1"/>
      <x:c r="W20" s="1"/>
      <x:c r="X20" s="1"/>
      <x:c r="Y20" s="1"/>
      <x:c r="Z20" s="1"/>
    </x:row>
    <x:row r="21">
      <x:c r="A21" s="109" t="str">
        <x:v>Logistics &amp; freight</x:v>
      </x:c>
      <x:c r="B21" s="168" t="n">
        <x:f>'Assumptions'!$B$20*'Assumptions'!$E$10</x:f>
        <x:v>52000</x:v>
      </x:c>
      <x:c r="C21" s="168" t="n">
        <x:f>'Assumptions'!$B$20*'Assumptions'!$E$10</x:f>
        <x:v>52000</x:v>
      </x:c>
      <x:c r="D21" s="168" t="n">
        <x:f>'Assumptions'!$B$20*'Assumptions'!$E$10</x:f>
        <x:v>52000</x:v>
      </x:c>
      <x:c r="E21" s="168" t="n">
        <x:f>'Assumptions'!$B$20*'Assumptions'!$E$10</x:f>
        <x:v>52000</x:v>
      </x:c>
      <x:c r="F21" s="168" t="n">
        <x:f>'Assumptions'!$B$20*'Assumptions'!$E$10</x:f>
        <x:v>52000</x:v>
      </x:c>
      <x:c r="G21" s="168" t="n">
        <x:f>'Assumptions'!$B$20*'Assumptions'!$E$10</x:f>
        <x:v>52000</x:v>
      </x:c>
      <x:c r="H21" s="168" t="n">
        <x:f>'Assumptions'!$B$20*'Assumptions'!$E$10</x:f>
        <x:v>52000</x:v>
      </x:c>
      <x:c r="I21" s="168" t="n">
        <x:f>'Assumptions'!$B$20*'Assumptions'!$E$10</x:f>
        <x:v>52000</x:v>
      </x:c>
      <x:c r="J21" s="168" t="n">
        <x:f>'Assumptions'!$B$20*'Assumptions'!$E$10</x:f>
        <x:v>52000</x:v>
      </x:c>
      <x:c r="K21" s="168" t="n">
        <x:f>'Assumptions'!$B$20*'Assumptions'!$E$10</x:f>
        <x:v>52000</x:v>
      </x:c>
      <x:c r="L21" s="168" t="n">
        <x:f>'Assumptions'!$B$20*'Assumptions'!$E$10</x:f>
        <x:v>52000</x:v>
      </x:c>
      <x:c r="M21" s="168" t="n">
        <x:f>'Assumptions'!$B$20*'Assumptions'!$E$10</x:f>
        <x:v>52000</x:v>
      </x:c>
      <x:c r="N21" s="168" t="n">
        <x:f>'Assumptions'!$B$20*'Assumptions'!$E$10</x:f>
        <x:v>52000</x:v>
      </x:c>
      <x:c r="O21" s="1"/>
      <x:c r="P21" s="1"/>
      <x:c r="Q21" s="1"/>
      <x:c r="R21" s="1"/>
      <x:c r="S21" s="1"/>
      <x:c r="T21" s="1"/>
      <x:c r="U21" s="1"/>
      <x:c r="V21" s="1"/>
      <x:c r="W21" s="1"/>
      <x:c r="X21" s="1"/>
      <x:c r="Y21" s="1"/>
      <x:c r="Z21" s="1"/>
    </x:row>
    <x:row r="22">
      <x:c r="A22" s="109" t="str">
        <x:v>Capex</x:v>
      </x:c>
      <x:c r="B22" s="168" t="n">
        <x:f>'Assumptions'!$B$21*'Assumptions'!$E$10</x:f>
        <x:v>20000</x:v>
      </x:c>
      <x:c r="C22" s="168" t="n">
        <x:f>'Assumptions'!$B$21*'Assumptions'!$E$10</x:f>
        <x:v>20000</x:v>
      </x:c>
      <x:c r="D22" s="168" t="n">
        <x:f>'Assumptions'!$B$21*'Assumptions'!$E$10</x:f>
        <x:v>20000</x:v>
      </x:c>
      <x:c r="E22" s="168" t="n">
        <x:f>'Assumptions'!$B$21*'Assumptions'!$E$10</x:f>
        <x:v>20000</x:v>
      </x:c>
      <x:c r="F22" s="168" t="n">
        <x:f>'Assumptions'!$B$21*'Assumptions'!$E$10</x:f>
        <x:v>20000</x:v>
      </x:c>
      <x:c r="G22" s="168" t="n">
        <x:f>'Assumptions'!$B$21*'Assumptions'!$E$10</x:f>
        <x:v>20000</x:v>
      </x:c>
      <x:c r="H22" s="168" t="n">
        <x:f>'Assumptions'!$B$21*'Assumptions'!$E$10</x:f>
        <x:v>20000</x:v>
      </x:c>
      <x:c r="I22" s="168" t="n">
        <x:f>'Assumptions'!$B$21*'Assumptions'!$E$10</x:f>
        <x:v>20000</x:v>
      </x:c>
      <x:c r="J22" s="168" t="n">
        <x:f>'Assumptions'!$B$21*'Assumptions'!$E$10</x:f>
        <x:v>20000</x:v>
      </x:c>
      <x:c r="K22" s="168" t="n">
        <x:f>'Assumptions'!$B$21*'Assumptions'!$E$10</x:f>
        <x:v>20000</x:v>
      </x:c>
      <x:c r="L22" s="168" t="n">
        <x:f>'Assumptions'!$B$21*'Assumptions'!$E$10</x:f>
        <x:v>20000</x:v>
      </x:c>
      <x:c r="M22" s="168" t="n">
        <x:f>'Assumptions'!$B$21*'Assumptions'!$E$10</x:f>
        <x:v>20000</x:v>
      </x:c>
      <x:c r="N22" s="168" t="n">
        <x:f>'Assumptions'!$B$21*'Assumptions'!$E$10</x:f>
        <x:v>20000</x:v>
      </x:c>
      <x:c r="O22" s="1"/>
      <x:c r="P22" s="1"/>
      <x:c r="Q22" s="1"/>
      <x:c r="R22" s="1"/>
      <x:c r="S22" s="1"/>
      <x:c r="T22" s="1"/>
      <x:c r="U22" s="1"/>
      <x:c r="V22" s="1"/>
      <x:c r="W22" s="1"/>
      <x:c r="X22" s="1"/>
      <x:c r="Y22" s="1"/>
      <x:c r="Z22" s="1"/>
    </x:row>
    <x:row r="23">
      <x:c r="A23" s="109" t="str">
        <x:v>Tax</x:v>
      </x:c>
      <x:c r="B23" s="168" t="n">
        <x:f>IF(B$5='Assumptions'!$B$22,'Assumptions'!$B$23,0)</x:f>
        <x:v>0</x:v>
      </x:c>
      <x:c r="C23" s="168" t="n">
        <x:f>IF(C$5='Assumptions'!$B$22,'Assumptions'!$B$23,0)</x:f>
        <x:v>0</x:v>
      </x:c>
      <x:c r="D23" s="168" t="n">
        <x:f>IF(D$5='Assumptions'!$B$22,'Assumptions'!$B$23,0)</x:f>
        <x:v>0</x:v>
      </x:c>
      <x:c r="E23" s="168" t="n">
        <x:f>IF(E$5='Assumptions'!$B$22,'Assumptions'!$B$23,0)</x:f>
        <x:v>0</x:v>
      </x:c>
      <x:c r="F23" s="168" t="n">
        <x:f>IF(F$5='Assumptions'!$B$22,'Assumptions'!$B$23,0)</x:f>
        <x:v>0</x:v>
      </x:c>
      <x:c r="G23" s="168" t="n">
        <x:f>IF(G$5='Assumptions'!$B$22,'Assumptions'!$B$23,0)</x:f>
        <x:v>0</x:v>
      </x:c>
      <x:c r="H23" s="168" t="n">
        <x:f>IF(H$5='Assumptions'!$B$22,'Assumptions'!$B$23,0)</x:f>
        <x:v>180000</x:v>
      </x:c>
      <x:c r="I23" s="168" t="n">
        <x:f>IF(I$5='Assumptions'!$B$22,'Assumptions'!$B$23,0)</x:f>
        <x:v>0</x:v>
      </x:c>
      <x:c r="J23" s="168" t="n">
        <x:f>IF(J$5='Assumptions'!$B$22,'Assumptions'!$B$23,0)</x:f>
        <x:v>0</x:v>
      </x:c>
      <x:c r="K23" s="168" t="n">
        <x:f>IF(K$5='Assumptions'!$B$22,'Assumptions'!$B$23,0)</x:f>
        <x:v>0</x:v>
      </x:c>
      <x:c r="L23" s="168" t="n">
        <x:f>IF(L$5='Assumptions'!$B$22,'Assumptions'!$B$23,0)</x:f>
        <x:v>0</x:v>
      </x:c>
      <x:c r="M23" s="168" t="n">
        <x:f>IF(M$5='Assumptions'!$B$22,'Assumptions'!$B$23,0)</x:f>
        <x:v>0</x:v>
      </x:c>
      <x:c r="N23" s="168" t="n">
        <x:f>IF(N$5='Assumptions'!$B$22,'Assumptions'!$B$23,0)</x:f>
        <x:v>0</x:v>
      </x:c>
      <x:c r="O23" s="1"/>
      <x:c r="P23" s="1"/>
      <x:c r="Q23" s="1"/>
      <x:c r="R23" s="1"/>
      <x:c r="S23" s="1"/>
      <x:c r="T23" s="1"/>
      <x:c r="U23" s="1"/>
      <x:c r="V23" s="1"/>
      <x:c r="W23" s="1"/>
      <x:c r="X23" s="1"/>
      <x:c r="Y23" s="1"/>
      <x:c r="Z23" s="1"/>
    </x:row>
    <x:row r="24">
      <x:c r="A24" s="190" t="str">
        <x:v>TOTAL OUTFLOWS</x:v>
      </x:c>
      <x:c r="B24" s="211" t="n">
        <x:f>SUM(B15:B16)-B17+SUM(B18:B23)</x:f>
        <x:v>955920</x:v>
      </x:c>
      <x:c r="C24" s="211" t="n">
        <x:f>SUM(C15:C16)-C17+SUM(C18:C23)</x:f>
        <x:v>930570</x:v>
      </x:c>
      <x:c r="D24" s="211" t="n">
        <x:f>SUM(D15:D16)-D17+SUM(D18:D23)</x:f>
        <x:v>918220</x:v>
      </x:c>
      <x:c r="E24" s="211" t="n">
        <x:f>SUM(E15:E16)-E17+SUM(E18:E23)</x:f>
        <x:v>870670</x:v>
      </x:c>
      <x:c r="F24" s="211" t="n">
        <x:f>SUM(F15:F16)-F17+SUM(F18:F23)</x:f>
        <x:v>871620</x:v>
      </x:c>
      <x:c r="G24" s="211" t="n">
        <x:f>SUM(G15:G16)-G17+SUM(G18:G23)</x:f>
        <x:v>875920</x:v>
      </x:c>
      <x:c r="H24" s="211" t="n">
        <x:f>SUM(H15:H16)-H17+SUM(H18:H23)</x:f>
        <x:v>1045470</x:v>
      </x:c>
      <x:c r="I24" s="211" t="n">
        <x:f>SUM(I15:I16)-I17+SUM(I18:I23)</x:f>
        <x:v>872620</x:v>
      </x:c>
      <x:c r="J24" s="211" t="n">
        <x:f>SUM(J15:J16)-J17+SUM(J18:J23)</x:f>
        <x:v>863120</x:v>
      </x:c>
      <x:c r="K24" s="211" t="n">
        <x:f>SUM(K15:K16)-K17+SUM(K18:K23)</x:f>
        <x:v>855520</x:v>
      </x:c>
      <x:c r="L24" s="211" t="n">
        <x:f>SUM(L15:L16)-L17+SUM(L18:L23)</x:f>
        <x:v>695920</x:v>
      </x:c>
      <x:c r="M24" s="211" t="n">
        <x:f>SUM(M15:M16)-M17+SUM(M18:M23)</x:f>
        <x:v>695920</x:v>
      </x:c>
      <x:c r="N24" s="211" t="n">
        <x:f>SUM(N15:N16)-N17+SUM(N18:N23)</x:f>
        <x:v>695920</x:v>
      </x:c>
      <x:c r="O24" s="1"/>
      <x:c r="P24" s="1"/>
      <x:c r="Q24" s="1"/>
      <x:c r="R24" s="1"/>
      <x:c r="S24" s="1"/>
      <x:c r="T24" s="1"/>
      <x:c r="U24" s="1"/>
      <x:c r="V24" s="1"/>
      <x:c r="W24" s="1"/>
      <x:c r="X24" s="1"/>
      <x:c r="Y24" s="1"/>
      <x:c r="Z24" s="1"/>
    </x:row>
    <x:row r="25">
      <x:c r="A25" s="109"/>
      <x:c r="B25" s="168"/>
      <x:c r="C25" s="168"/>
      <x:c r="D25" s="168"/>
      <x:c r="E25" s="168"/>
      <x:c r="F25" s="168"/>
      <x:c r="G25" s="168"/>
      <x:c r="H25" s="168"/>
      <x:c r="I25" s="168"/>
      <x:c r="J25" s="168"/>
      <x:c r="K25" s="168"/>
      <x:c r="L25" s="168"/>
      <x:c r="M25" s="168"/>
      <x:c r="N25" s="168"/>
      <x:c r="O25" s="1"/>
      <x:c r="P25" s="1"/>
      <x:c r="Q25" s="1"/>
      <x:c r="R25" s="1"/>
      <x:c r="S25" s="1"/>
      <x:c r="T25" s="1"/>
      <x:c r="U25" s="1"/>
      <x:c r="V25" s="1"/>
      <x:c r="W25" s="1"/>
      <x:c r="X25" s="1"/>
      <x:c r="Y25" s="1"/>
      <x:c r="Z25" s="1"/>
    </x:row>
    <x:row r="26">
      <x:c r="A26" s="192" t="str">
        <x:v>NET CASH MOVEMENT</x:v>
      </x:c>
      <x:c r="B26" s="212" t="n">
        <x:f>B13-B24</x:f>
        <x:v>-559400</x:v>
      </x:c>
      <x:c r="C26" s="212" t="n">
        <x:f>C13-C24</x:f>
        <x:v>-558770</x:v>
      </x:c>
      <x:c r="D26" s="212" t="n">
        <x:f>D13-D24</x:f>
        <x:v>-198180</x:v>
      </x:c>
      <x:c r="E26" s="212" t="n">
        <x:f>E13-E24</x:f>
        <x:v>-174350</x:v>
      </x:c>
      <x:c r="F26" s="212" t="n">
        <x:f>F13-F24</x:f>
        <x:v>-180100</x:v>
      </x:c>
      <x:c r="G26" s="212" t="n">
        <x:f>G13-G24</x:f>
        <x:v>-258840</x:v>
      </x:c>
      <x:c r="H26" s="212" t="n">
        <x:f>H13-H24</x:f>
        <x:v>-433070</x:v>
      </x:c>
      <x:c r="I26" s="212" t="n">
        <x:f>I13-I24</x:f>
        <x:v>-277500</x:v>
      </x:c>
      <x:c r="J26" s="212" t="n">
        <x:f>J13-J24</x:f>
        <x:v>-270960</x:v>
      </x:c>
      <x:c r="K26" s="212" t="n">
        <x:f>K13-K24</x:f>
        <x:v>-276240</x:v>
      </x:c>
      <x:c r="L26" s="212" t="n">
        <x:f>L13-L24</x:f>
        <x:v>-331920</x:v>
      </x:c>
      <x:c r="M26" s="212" t="n">
        <x:f>M13-M24</x:f>
        <x:v>-331920</x:v>
      </x:c>
      <x:c r="N26" s="212" t="n">
        <x:f>N13-N24</x:f>
        <x:v>-331920</x:v>
      </x:c>
      <x:c r="O26" s="1"/>
      <x:c r="P26" s="1"/>
      <x:c r="Q26" s="1"/>
      <x:c r="R26" s="1"/>
      <x:c r="S26" s="1"/>
      <x:c r="T26" s="1"/>
      <x:c r="U26" s="1"/>
      <x:c r="V26" s="1"/>
      <x:c r="W26" s="1"/>
      <x:c r="X26" s="1"/>
      <x:c r="Y26" s="1"/>
      <x:c r="Z26" s="1"/>
    </x:row>
    <x:row r="27">
      <x:c r="A27" s="109" t="str">
        <x:v>Pre-financing cash</x:v>
      </x:c>
      <x:c r="B27" s="168" t="n">
        <x:f>B8+B26</x:f>
        <x:v>340600</x:v>
      </x:c>
      <x:c r="C27" s="168" t="n">
        <x:f>C8+C26</x:f>
        <x:v>-58770</x:v>
      </x:c>
      <x:c r="D27" s="168" t="n">
        <x:f>D8+D26</x:f>
        <x:v>301820</x:v>
      </x:c>
      <x:c r="E27" s="168" t="n">
        <x:f>E8+E26</x:f>
        <x:v>159300</x:v>
      </x:c>
      <x:c r="F27" s="168" t="n">
        <x:f>F8+F26</x:f>
        <x:v>-20800</x:v>
      </x:c>
      <x:c r="G27" s="168" t="n">
        <x:f>G8+G26</x:f>
        <x:v>-279640</x:v>
      </x:c>
      <x:c r="H27" s="168" t="n">
        <x:f>H8+H26</x:f>
        <x:v>-712710</x:v>
      </x:c>
      <x:c r="I27" s="168" t="n">
        <x:f>I8+I26</x:f>
        <x:v>-990210</x:v>
      </x:c>
      <x:c r="J27" s="168" t="n">
        <x:f>J8+J26</x:f>
        <x:v>-1261170</x:v>
      </x:c>
      <x:c r="K27" s="168" t="n">
        <x:f>K8+K26</x:f>
        <x:v>-1537410</x:v>
      </x:c>
      <x:c r="L27" s="168" t="n">
        <x:f>L8+L26</x:f>
        <x:v>-1869330</x:v>
      </x:c>
      <x:c r="M27" s="168" t="n">
        <x:f>M8+M26</x:f>
        <x:v>-2201250</x:v>
      </x:c>
      <x:c r="N27" s="168" t="n">
        <x:f>N8+N26</x:f>
        <x:v>-2533170</x:v>
      </x:c>
      <x:c r="O27" s="1"/>
      <x:c r="P27" s="1"/>
      <x:c r="Q27" s="1"/>
      <x:c r="R27" s="1"/>
      <x:c r="S27" s="1"/>
      <x:c r="T27" s="1"/>
      <x:c r="U27" s="1"/>
      <x:c r="V27" s="1"/>
      <x:c r="W27" s="1"/>
      <x:c r="X27" s="1"/>
      <x:c r="Y27" s="1"/>
      <x:c r="Z27" s="1"/>
    </x:row>
    <x:row r="28">
      <x:c r="A28" s="109" t="str">
        <x:v>Facility draw</x:v>
      </x:c>
      <x:c r="B28" s="168" t="n">
        <x:f>MIN(MAX(0,'Assumptions'!$B$9-B27),MAX(0,'Assumptions'!$B$10-0))</x:f>
        <x:v>159400</x:v>
      </x:c>
      <x:c r="C28" s="168" t="n">
        <x:f>MIN(MAX(0,'Assumptions'!$B$9-C27),MAX(0,'Assumptions'!$B$10-SUM($B$28:B$28)))</x:f>
        <x:v>558770</x:v>
      </x:c>
      <x:c r="D28" s="168" t="n">
        <x:f>MIN(MAX(0,'Assumptions'!$B$9-D27),MAX(0,'Assumptions'!$B$10-SUM($B$28:C$28)))</x:f>
        <x:v>31830</x:v>
      </x:c>
      <x:c r="E28" s="168" t="n">
        <x:f>MIN(MAX(0,'Assumptions'!$B$9-E27),MAX(0,'Assumptions'!$B$10-SUM($B$28:D$28)))</x:f>
        <x:v>0</x:v>
      </x:c>
      <x:c r="F28" s="168" t="n">
        <x:f>MIN(MAX(0,'Assumptions'!$B$9-F27),MAX(0,'Assumptions'!$B$10-SUM($B$28:E$28)))</x:f>
        <x:v>0</x:v>
      </x:c>
      <x:c r="G28" s="168" t="n">
        <x:f>MIN(MAX(0,'Assumptions'!$B$9-G27),MAX(0,'Assumptions'!$B$10-SUM($B$28:F$28)))</x:f>
        <x:v>0</x:v>
      </x:c>
      <x:c r="H28" s="168" t="n">
        <x:f>MIN(MAX(0,'Assumptions'!$B$9-H27),MAX(0,'Assumptions'!$B$10-SUM($B$28:G$28)))</x:f>
        <x:v>0</x:v>
      </x:c>
      <x:c r="I28" s="168" t="n">
        <x:f>MIN(MAX(0,'Assumptions'!$B$9-I27),MAX(0,'Assumptions'!$B$10-SUM($B$28:H$28)))</x:f>
        <x:v>0</x:v>
      </x:c>
      <x:c r="J28" s="168" t="n">
        <x:f>MIN(MAX(0,'Assumptions'!$B$9-J27),MAX(0,'Assumptions'!$B$10-SUM($B$28:I$28)))</x:f>
        <x:v>0</x:v>
      </x:c>
      <x:c r="K28" s="168" t="n">
        <x:f>MIN(MAX(0,'Assumptions'!$B$9-K27),MAX(0,'Assumptions'!$B$10-SUM($B$28:J$28)))</x:f>
        <x:v>0</x:v>
      </x:c>
      <x:c r="L28" s="168" t="n">
        <x:f>MIN(MAX(0,'Assumptions'!$B$9-L27),MAX(0,'Assumptions'!$B$10-SUM($B$28:K$28)))</x:f>
        <x:v>0</x:v>
      </x:c>
      <x:c r="M28" s="168" t="n">
        <x:f>MIN(MAX(0,'Assumptions'!$B$9-M27),MAX(0,'Assumptions'!$B$10-SUM($B$28:L$28)))</x:f>
        <x:v>0</x:v>
      </x:c>
      <x:c r="N28" s="168" t="n">
        <x:f>MIN(MAX(0,'Assumptions'!$B$9-N27),MAX(0,'Assumptions'!$B$10-SUM($B$28:M$28)))</x:f>
        <x:v>0</x:v>
      </x:c>
      <x:c r="O28" s="1"/>
      <x:c r="P28" s="1"/>
      <x:c r="Q28" s="1"/>
      <x:c r="R28" s="1"/>
      <x:c r="S28" s="1"/>
      <x:c r="T28" s="1"/>
      <x:c r="U28" s="1"/>
      <x:c r="V28" s="1"/>
      <x:c r="W28" s="1"/>
      <x:c r="X28" s="1"/>
      <x:c r="Y28" s="1"/>
      <x:c r="Z28" s="1"/>
    </x:row>
    <x:row r="29">
      <x:c r="A29" s="201" t="str">
        <x:v>ENDING CASH</x:v>
      </x:c>
      <x:c r="B29" s="213" t="n">
        <x:f>B27+B28</x:f>
        <x:v>500000</x:v>
      </x:c>
      <x:c r="C29" s="213" t="n">
        <x:f>C27+C28</x:f>
        <x:v>500000</x:v>
      </x:c>
      <x:c r="D29" s="213" t="n">
        <x:f>D27+D28</x:f>
        <x:v>333650</x:v>
      </x:c>
      <x:c r="E29" s="213" t="n">
        <x:f>E27+E28</x:f>
        <x:v>159300</x:v>
      </x:c>
      <x:c r="F29" s="213" t="n">
        <x:f>F27+F28</x:f>
        <x:v>-20800</x:v>
      </x:c>
      <x:c r="G29" s="213" t="n">
        <x:f>G27+G28</x:f>
        <x:v>-279640</x:v>
      </x:c>
      <x:c r="H29" s="213" t="n">
        <x:f>H27+H28</x:f>
        <x:v>-712710</x:v>
      </x:c>
      <x:c r="I29" s="213" t="n">
        <x:f>I27+I28</x:f>
        <x:v>-990210</x:v>
      </x:c>
      <x:c r="J29" s="213" t="n">
        <x:f>J27+J28</x:f>
        <x:v>-1261170</x:v>
      </x:c>
      <x:c r="K29" s="213" t="n">
        <x:f>K27+K28</x:f>
        <x:v>-1537410</x:v>
      </x:c>
      <x:c r="L29" s="213" t="n">
        <x:f>L27+L28</x:f>
        <x:v>-1869330</x:v>
      </x:c>
      <x:c r="M29" s="213" t="n">
        <x:f>M27+M28</x:f>
        <x:v>-2201250</x:v>
      </x:c>
      <x:c r="N29" s="214" t="n">
        <x:f>N27+N28</x:f>
        <x:v>-2533170</x:v>
      </x:c>
      <x:c r="O29" s="1"/>
      <x:c r="P29" s="1"/>
      <x:c r="Q29" s="1"/>
      <x:c r="R29" s="1"/>
      <x:c r="S29" s="1"/>
      <x:c r="T29" s="1"/>
      <x:c r="U29" s="1"/>
      <x:c r="V29" s="1"/>
      <x:c r="W29" s="1"/>
      <x:c r="X29" s="1"/>
      <x:c r="Y29" s="1"/>
      <x:c r="Z29" s="1"/>
    </x:row>
    <x:row r="30">
      <x:c r="A30" s="109" t="str">
        <x:v>Remaining facility</x:v>
      </x:c>
      <x:c r="B30" s="168" t="n">
        <x:f>'Assumptions'!$B$10-SUM($B$28:B$28)</x:f>
        <x:v>590600</x:v>
      </x:c>
      <x:c r="C30" s="168" t="n">
        <x:f>'Assumptions'!$B$10-SUM($B$28:C$28)</x:f>
        <x:v>31830</x:v>
      </x:c>
      <x:c r="D30" s="168" t="n">
        <x:f>'Assumptions'!$B$10-SUM($B$28:D$28)</x:f>
        <x:v>0</x:v>
      </x:c>
      <x:c r="E30" s="168" t="n">
        <x:f>'Assumptions'!$B$10-SUM($B$28:E$28)</x:f>
        <x:v>0</x:v>
      </x:c>
      <x:c r="F30" s="168" t="n">
        <x:f>'Assumptions'!$B$10-SUM($B$28:F$28)</x:f>
        <x:v>0</x:v>
      </x:c>
      <x:c r="G30" s="168" t="n">
        <x:f>'Assumptions'!$B$10-SUM($B$28:G$28)</x:f>
        <x:v>0</x:v>
      </x:c>
      <x:c r="H30" s="168" t="n">
        <x:f>'Assumptions'!$B$10-SUM($B$28:H$28)</x:f>
        <x:v>0</x:v>
      </x:c>
      <x:c r="I30" s="168" t="n">
        <x:f>'Assumptions'!$B$10-SUM($B$28:I$28)</x:f>
        <x:v>0</x:v>
      </x:c>
      <x:c r="J30" s="168" t="n">
        <x:f>'Assumptions'!$B$10-SUM($B$28:J$28)</x:f>
        <x:v>0</x:v>
      </x:c>
      <x:c r="K30" s="168" t="n">
        <x:f>'Assumptions'!$B$10-SUM($B$28:K$28)</x:f>
        <x:v>0</x:v>
      </x:c>
      <x:c r="L30" s="168" t="n">
        <x:f>'Assumptions'!$B$10-SUM($B$28:L$28)</x:f>
        <x:v>0</x:v>
      </x:c>
      <x:c r="M30" s="168" t="n">
        <x:f>'Assumptions'!$B$10-SUM($B$28:M$28)</x:f>
        <x:v>0</x:v>
      </x:c>
      <x:c r="N30" s="168" t="n">
        <x:f>'Assumptions'!$B$10-SUM($B$28:N$28)</x:f>
        <x:v>0</x:v>
      </x:c>
      <x:c r="O30" s="1"/>
      <x:c r="P30" s="1"/>
      <x:c r="Q30" s="1"/>
      <x:c r="R30" s="1"/>
      <x:c r="S30" s="1"/>
      <x:c r="T30" s="1"/>
      <x:c r="U30" s="1"/>
      <x:c r="V30" s="1"/>
      <x:c r="W30" s="1"/>
      <x:c r="X30" s="1"/>
      <x:c r="Y30" s="1"/>
      <x:c r="Z30" s="1"/>
    </x:row>
    <x:row r="31">
      <x:c r="A31" s="205" t="str">
        <x:v>LIQUIDITY HEADROOM</x:v>
      </x:c>
      <x:c r="B31" s="215" t="n">
        <x:f>B29-'Assumptions'!$B$9+B30</x:f>
        <x:v>590600</x:v>
      </x:c>
      <x:c r="C31" s="215" t="n">
        <x:f>C29-'Assumptions'!$B$9+C30</x:f>
        <x:v>31830</x:v>
      </x:c>
      <x:c r="D31" s="215" t="n">
        <x:f>D29-'Assumptions'!$B$9+D30</x:f>
        <x:v>-166350</x:v>
      </x:c>
      <x:c r="E31" s="215" t="n">
        <x:f>E29-'Assumptions'!$B$9+E30</x:f>
        <x:v>-340700</x:v>
      </x:c>
      <x:c r="F31" s="215" t="n">
        <x:f>F29-'Assumptions'!$B$9+F30</x:f>
        <x:v>-520800</x:v>
      </x:c>
      <x:c r="G31" s="215" t="n">
        <x:f>G29-'Assumptions'!$B$9+G30</x:f>
        <x:v>-779640</x:v>
      </x:c>
      <x:c r="H31" s="215" t="n">
        <x:f>H29-'Assumptions'!$B$9+H30</x:f>
        <x:v>-1212710</x:v>
      </x:c>
      <x:c r="I31" s="215" t="n">
        <x:f>I29-'Assumptions'!$B$9+I30</x:f>
        <x:v>-1490210</x:v>
      </x:c>
      <x:c r="J31" s="215" t="n">
        <x:f>J29-'Assumptions'!$B$9+J30</x:f>
        <x:v>-1761170</x:v>
      </x:c>
      <x:c r="K31" s="215" t="n">
        <x:f>K29-'Assumptions'!$B$9+K30</x:f>
        <x:v>-2037410</x:v>
      </x:c>
      <x:c r="L31" s="215" t="n">
        <x:f>L29-'Assumptions'!$B$9+L30</x:f>
        <x:v>-2369330</x:v>
      </x:c>
      <x:c r="M31" s="215" t="n">
        <x:f>M29-'Assumptions'!$B$9+M30</x:f>
        <x:v>-2701250</x:v>
      </x:c>
      <x:c r="N31" s="215" t="n">
        <x:f>N29-'Assumptions'!$B$9+N30</x:f>
        <x:v>-3033170</x:v>
      </x:c>
      <x:c r="O31" s="1"/>
      <x:c r="P31" s="1"/>
      <x:c r="Q31" s="1"/>
      <x:c r="R31" s="1"/>
      <x:c r="S31" s="1"/>
      <x:c r="T31" s="1"/>
      <x:c r="U31" s="1"/>
      <x:c r="V31" s="1"/>
      <x:c r="W31" s="1"/>
      <x:c r="X31" s="1"/>
      <x:c r="Y31" s="1"/>
      <x:c r="Z31" s="1"/>
    </x:row>
    <x:row r="32">
      <x:c r="A32" s="209" t="str">
        <x:v>Cash guardrail</x:v>
      </x:c>
      <x:c r="B32" s="216" t="n">
        <x:f>'Assumptions'!$B$9</x:f>
        <x:v>500000</x:v>
      </x:c>
      <x:c r="C32" s="216" t="n">
        <x:f>'Assumptions'!$B$9</x:f>
        <x:v>500000</x:v>
      </x:c>
      <x:c r="D32" s="216" t="n">
        <x:f>'Assumptions'!$B$9</x:f>
        <x:v>500000</x:v>
      </x:c>
      <x:c r="E32" s="216" t="n">
        <x:f>'Assumptions'!$B$9</x:f>
        <x:v>500000</x:v>
      </x:c>
      <x:c r="F32" s="216" t="n">
        <x:f>'Assumptions'!$B$9</x:f>
        <x:v>500000</x:v>
      </x:c>
      <x:c r="G32" s="216" t="n">
        <x:f>'Assumptions'!$B$9</x:f>
        <x:v>500000</x:v>
      </x:c>
      <x:c r="H32" s="216" t="n">
        <x:f>'Assumptions'!$B$9</x:f>
        <x:v>500000</x:v>
      </x:c>
      <x:c r="I32" s="216" t="n">
        <x:f>'Assumptions'!$B$9</x:f>
        <x:v>500000</x:v>
      </x:c>
      <x:c r="J32" s="216" t="n">
        <x:f>'Assumptions'!$B$9</x:f>
        <x:v>500000</x:v>
      </x:c>
      <x:c r="K32" s="216" t="n">
        <x:f>'Assumptions'!$B$9</x:f>
        <x:v>500000</x:v>
      </x:c>
      <x:c r="L32" s="216" t="n">
        <x:f>'Assumptions'!$B$9</x:f>
        <x:v>500000</x:v>
      </x:c>
      <x:c r="M32" s="216" t="n">
        <x:f>'Assumptions'!$B$9</x:f>
        <x:v>500000</x:v>
      </x:c>
      <x:c r="N32" s="216" t="n">
        <x:f>'Assumptions'!$B$9</x:f>
        <x:v>500000</x:v>
      </x:c>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sheetData>
  <x:mergeCells>
    <x:mergeCell ref="A1:N2"/>
    <x:mergeCell ref="A3:N3"/>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8" hidden="0" customWidth="1"/>
    <x:col min="4" max="4" width="18" hidden="0" customWidth="1"/>
    <x:col min="5" max="5" width="4" hidden="0" customWidth="1"/>
    <x:col min="6" max="6" width="30" hidden="0" customWidth="1"/>
    <x:col min="7" max="7" width="18" hidden="0" customWidth="1"/>
    <x:col min="8" max="8" width="10" hidden="0" customWidth="1"/>
  </x:cols>
  <x:sheetData>
    <x:row r="1" ht="25" customHeight="1">
      <x:c r="A1" s="4" t="str">
        <x:v>WORKING-CAPITAL BRIDGE</x:v>
      </x:c>
      <x:c r="B1" s="4"/>
      <x:c r="C1" s="4"/>
      <x:c r="D1" s="4"/>
      <x:c r="E1" s="4"/>
      <x:c r="F1" s="4"/>
      <x:c r="G1" s="4"/>
      <x:c r="H1" s="4"/>
      <x:c r="I1" s="1"/>
      <x:c r="J1" s="1"/>
      <x:c r="K1" s="1"/>
      <x:c r="L1" s="1"/>
      <x:c r="M1" s="1"/>
      <x:c r="N1" s="1"/>
      <x:c r="O1" s="1"/>
      <x:c r="P1" s="1"/>
      <x:c r="Q1" s="1"/>
      <x:c r="R1" s="1"/>
      <x:c r="S1" s="1"/>
      <x:c r="T1" s="1"/>
      <x:c r="U1" s="1"/>
      <x:c r="V1" s="1"/>
      <x:c r="W1" s="1"/>
      <x:c r="X1" s="1"/>
      <x:c r="Y1" s="1"/>
      <x:c r="Z1" s="1"/>
    </x:row>
    <x:row r="2" ht="25" customHeight="1">
      <x:c r="A2" s="4"/>
      <x:c r="B2" s="4"/>
      <x:c r="C2" s="4"/>
      <x:c r="D2" s="4"/>
      <x:c r="E2" s="4"/>
      <x:c r="F2" s="4"/>
      <x:c r="G2" s="4"/>
      <x:c r="H2" s="4"/>
      <x:c r="I2" s="1"/>
      <x:c r="J2" s="1"/>
      <x:c r="K2" s="1"/>
      <x:c r="L2" s="1"/>
      <x:c r="M2" s="1"/>
      <x:c r="N2" s="1"/>
      <x:c r="O2" s="1"/>
      <x:c r="P2" s="1"/>
      <x:c r="Q2" s="1"/>
      <x:c r="R2" s="1"/>
      <x:c r="S2" s="1"/>
      <x:c r="T2" s="1"/>
      <x:c r="U2" s="1"/>
      <x:c r="V2" s="1"/>
      <x:c r="W2" s="1"/>
      <x:c r="X2" s="1"/>
      <x:c r="Y2" s="1"/>
      <x:c r="Z2" s="1"/>
    </x:row>
    <x:row r="3" ht="25" customHeight="1">
      <x:c r="A3" s="7" t="str">
        <x:v>Opening position to 13-week projected position · DSO, DPO, inventory days, and CCC</x:v>
      </x:c>
      <x:c r="B3" s="7"/>
      <x:c r="C3" s="7"/>
      <x:c r="D3" s="7"/>
      <x:c r="E3" s="7"/>
      <x:c r="F3" s="7"/>
      <x:c r="G3" s="7"/>
      <x:c r="H3" s="7"/>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155" t="str">
        <x:v>Metric</x:v>
      </x:c>
      <x:c r="B5" s="155" t="str">
        <x:v>Opening</x:v>
      </x:c>
      <x:c r="C5" s="155" t="str">
        <x:v>Projected</x:v>
      </x:c>
      <x:c r="D5" s="155" t="str">
        <x:v>Change</x:v>
      </x:c>
      <x:c r="E5" s="1"/>
      <x:c r="F5" s="70" t="str">
        <x:v>CASH RELEASE BRIDGE</x:v>
      </x:c>
      <x:c r="G5" s="70"/>
      <x:c r="H5" s="70"/>
      <x:c r="I5" s="1"/>
      <x:c r="J5" s="1"/>
      <x:c r="K5" s="1"/>
      <x:c r="L5" s="1"/>
      <x:c r="M5" s="1"/>
      <x:c r="N5" s="1"/>
      <x:c r="O5" s="1"/>
      <x:c r="P5" s="1"/>
      <x:c r="Q5" s="1"/>
      <x:c r="R5" s="1"/>
      <x:c r="S5" s="1"/>
      <x:c r="T5" s="1"/>
      <x:c r="U5" s="1"/>
      <x:c r="V5" s="1"/>
      <x:c r="W5" s="1"/>
      <x:c r="X5" s="1"/>
      <x:c r="Y5" s="1"/>
      <x:c r="Z5" s="1"/>
    </x:row>
    <x:row r="6">
      <x:c r="A6" s="108" t="str">
        <x:v>Annualized sales</x:v>
      </x:c>
      <x:c r="B6" s="167" t="n">
        <x:f>'Assumptions'!$B$14*52</x:f>
        <x:v>27040000</x:v>
      </x:c>
      <x:c r="C6" s="167" t="n">
        <x:f>'Assumptions'!$B$14*'Assumptions'!$E$6*52</x:f>
        <x:v>27040000</x:v>
      </x:c>
      <x:c r="D6" s="167" t="n">
        <x:f>C6-B6</x:f>
        <x:v>0</x:v>
      </x:c>
      <x:c r="E6" s="1"/>
      <x:c r="F6" s="108" t="str">
        <x:v>Component</x:v>
      </x:c>
      <x:c r="G6" s="108"/>
      <x:c r="H6" s="1"/>
      <x:c r="I6" s="1"/>
      <x:c r="J6" s="1"/>
      <x:c r="K6" s="1"/>
      <x:c r="L6" s="1"/>
      <x:c r="M6" s="1"/>
      <x:c r="N6" s="1"/>
      <x:c r="O6" s="1"/>
      <x:c r="P6" s="1"/>
      <x:c r="Q6" s="1"/>
      <x:c r="R6" s="1"/>
      <x:c r="S6" s="1"/>
      <x:c r="T6" s="1"/>
      <x:c r="U6" s="1"/>
      <x:c r="V6" s="1"/>
      <x:c r="W6" s="1"/>
      <x:c r="X6" s="1"/>
      <x:c r="Y6" s="1"/>
      <x:c r="Z6" s="1"/>
    </x:row>
    <x:row r="7">
      <x:c r="A7" s="109" t="str">
        <x:v>Annualized COGS</x:v>
      </x:c>
      <x:c r="B7" s="168" t="n">
        <x:f>B6*(1-'Assumptions'!$B$15)</x:f>
        <x:v>18387200</x:v>
      </x:c>
      <x:c r="C7" s="168" t="n">
        <x:f>C6*(1-'Assumptions'!$B$15)</x:f>
        <x:v>18387200</x:v>
      </x:c>
      <x:c r="D7" s="168" t="n">
        <x:f>C7-B7</x:f>
        <x:v>0</x:v>
      </x:c>
      <x:c r="E7" s="1"/>
      <x:c r="F7" s="109" t="str">
        <x:v>AR reduction</x:v>
      </x:c>
      <x:c r="G7" s="168" t="n">
        <x:f>B8-C8</x:f>
        <x:v>1920240</x:v>
      </x:c>
      <x:c r="H7" s="1"/>
      <x:c r="I7" s="1"/>
      <x:c r="J7" s="1"/>
      <x:c r="K7" s="1"/>
      <x:c r="L7" s="1"/>
      <x:c r="M7" s="1"/>
      <x:c r="N7" s="1"/>
      <x:c r="O7" s="1"/>
      <x:c r="P7" s="1"/>
      <x:c r="Q7" s="1"/>
      <x:c r="R7" s="1"/>
      <x:c r="S7" s="1"/>
      <x:c r="T7" s="1"/>
      <x:c r="U7" s="1"/>
      <x:c r="V7" s="1"/>
      <x:c r="W7" s="1"/>
      <x:c r="X7" s="1"/>
      <x:c r="Y7" s="1"/>
      <x:c r="Z7" s="1"/>
    </x:row>
    <x:row r="8">
      <x:c r="A8" s="109" t="str">
        <x:v>Accounts receivable</x:v>
      </x:c>
      <x:c r="B8" s="168" t="n">
        <x:f>'Assumptions'!$B$11</x:f>
        <x:v>3250000</x:v>
      </x:c>
      <x:c r="C8" s="168" t="n">
        <x:f>MAX(0,'Assumptions'!$B$11-SUM('AR_Collections'!$H$6:$H$30))+'13W_Cash_Flow'!$N$9*2</x:f>
        <x:v>1329760</x:v>
      </x:c>
      <x:c r="D8" s="168" t="n">
        <x:f>C8-B8</x:f>
        <x:v>-1920240</x:v>
      </x:c>
      <x:c r="E8" s="1"/>
      <x:c r="F8" s="109" t="str">
        <x:v>Inventory reduction</x:v>
      </x:c>
      <x:c r="G8" s="168" t="n">
        <x:f>B10-C10</x:f>
        <x:v>97700</x:v>
      </x:c>
      <x:c r="H8" s="1"/>
      <x:c r="I8" s="1"/>
      <x:c r="J8" s="1"/>
      <x:c r="K8" s="1"/>
      <x:c r="L8" s="1"/>
      <x:c r="M8" s="1"/>
      <x:c r="N8" s="1"/>
      <x:c r="O8" s="1"/>
      <x:c r="P8" s="1"/>
      <x:c r="Q8" s="1"/>
      <x:c r="R8" s="1"/>
      <x:c r="S8" s="1"/>
      <x:c r="T8" s="1"/>
      <x:c r="U8" s="1"/>
      <x:c r="V8" s="1"/>
      <x:c r="W8" s="1"/>
      <x:c r="X8" s="1"/>
      <x:c r="Y8" s="1"/>
      <x:c r="Z8" s="1"/>
    </x:row>
    <x:row r="9">
      <x:c r="A9" s="109" t="str">
        <x:v>Accounts payable</x:v>
      </x:c>
      <x:c r="B9" s="168" t="n">
        <x:f>'Assumptions'!$B$12</x:f>
        <x:v>2100000</x:v>
      </x:c>
      <x:c r="C9" s="168" t="n">
        <x:f>MAX(0,'Assumptions'!$B$12-SUM('AP_Payments'!$H$6:$H$25))+'13W_Cash_Flow'!$N$16*2</x:f>
        <x:v>753689.9999999999</x:v>
      </x:c>
      <x:c r="D9" s="168" t="n">
        <x:f>C9-B9</x:f>
        <x:v>-1346310</x:v>
      </x:c>
      <x:c r="E9" s="1"/>
      <x:c r="F9" s="109" t="str">
        <x:v>AP reduction / (increase)</x:v>
      </x:c>
      <x:c r="G9" s="168" t="n">
        <x:f>-(B9-C9)</x:f>
        <x:v>-1346310</x:v>
      </x:c>
      <x:c r="H9" s="1"/>
      <x:c r="I9" s="1"/>
      <x:c r="J9" s="1"/>
      <x:c r="K9" s="1"/>
      <x:c r="L9" s="1"/>
      <x:c r="M9" s="1"/>
      <x:c r="N9" s="1"/>
      <x:c r="O9" s="1"/>
      <x:c r="P9" s="1"/>
      <x:c r="Q9" s="1"/>
      <x:c r="R9" s="1"/>
      <x:c r="S9" s="1"/>
      <x:c r="T9" s="1"/>
      <x:c r="U9" s="1"/>
      <x:c r="V9" s="1"/>
      <x:c r="W9" s="1"/>
      <x:c r="X9" s="1"/>
      <x:c r="Y9" s="1"/>
      <x:c r="Z9" s="1"/>
    </x:row>
    <x:row r="10">
      <x:c r="A10" s="109" t="str">
        <x:v>Inventory</x:v>
      </x:c>
      <x:c r="B10" s="168" t="n">
        <x:f>'Assumptions'!$B$13</x:f>
        <x:v>1650000</x:v>
      </x:c>
      <x:c r="C10" s="168" t="n">
        <x:f>'Assumptions'!$B$13-SUM('Inventory'!$I$6:$I$15)</x:f>
        <x:v>1552300</x:v>
      </x:c>
      <x:c r="D10" s="168" t="n">
        <x:f>C10-B10</x:f>
        <x:v>-97700</x:v>
      </x:c>
      <x:c r="E10" s="1"/>
      <x:c r="F10" s="205" t="str">
        <x:v>NET CASH RELEASE</x:v>
      </x:c>
      <x:c r="G10" s="205" t="n">
        <x:f>SUM(G7:G9)</x:f>
        <x:v>671630</x:v>
      </x:c>
      <x:c r="H10" s="1"/>
      <x:c r="I10" s="1"/>
      <x:c r="J10" s="1"/>
      <x:c r="K10" s="1"/>
      <x:c r="L10" s="1"/>
      <x:c r="M10" s="1"/>
      <x:c r="N10" s="1"/>
      <x:c r="O10" s="1"/>
      <x:c r="P10" s="1"/>
      <x:c r="Q10" s="1"/>
      <x:c r="R10" s="1"/>
      <x:c r="S10" s="1"/>
      <x:c r="T10" s="1"/>
      <x:c r="U10" s="1"/>
      <x:c r="V10" s="1"/>
      <x:c r="W10" s="1"/>
      <x:c r="X10" s="1"/>
      <x:c r="Y10" s="1"/>
      <x:c r="Z10" s="1"/>
    </x:row>
    <x:row r="11">
      <x:c r="A11" s="109" t="str">
        <x:v>DSO</x:v>
      </x:c>
      <x:c r="B11" s="218" t="n">
        <x:f>B8/B6*365</x:f>
        <x:v>43.87019230769231</x:v>
      </x:c>
      <x:c r="C11" s="218" t="n">
        <x:f>C8/C6*365</x:f>
        <x:v>17.949792899408283</x:v>
      </x:c>
      <x:c r="D11" s="218" t="n">
        <x:f>C11-B11</x:f>
        <x:v>-25.920399408284023</x:v>
      </x:c>
      <x:c r="E11" s="1"/>
      <x:c r="F11" s="1"/>
      <x:c r="G11" s="1"/>
      <x:c r="H11" s="1"/>
      <x:c r="I11" s="1"/>
      <x:c r="J11" s="1"/>
      <x:c r="K11" s="1"/>
      <x:c r="L11" s="1"/>
      <x:c r="M11" s="1"/>
      <x:c r="N11" s="1"/>
      <x:c r="O11" s="1"/>
      <x:c r="P11" s="1"/>
      <x:c r="Q11" s="1"/>
      <x:c r="R11" s="1"/>
      <x:c r="S11" s="1"/>
      <x:c r="T11" s="1"/>
      <x:c r="U11" s="1"/>
      <x:c r="V11" s="1"/>
      <x:c r="W11" s="1"/>
      <x:c r="X11" s="1"/>
      <x:c r="Y11" s="1"/>
      <x:c r="Z11" s="1"/>
    </x:row>
    <x:row r="12">
      <x:c r="A12" s="109" t="str">
        <x:v>DPO</x:v>
      </x:c>
      <x:c r="B12" s="218" t="n">
        <x:f>B9/B7*365</x:f>
        <x:v>41.68660807518274</x:v>
      </x:c>
      <x:c r="C12" s="218" t="n">
        <x:f>C9/C7*365</x:f>
        <x:v>14.961323638183082</x:v>
      </x:c>
      <x:c r="D12" s="218" t="n">
        <x:f>C12-B12</x:f>
        <x:v>-26.725284436999658</x:v>
      </x:c>
      <x:c r="E12" s="1"/>
      <x:c r="F12" s="1"/>
      <x:c r="G12" s="1"/>
      <x:c r="H12" s="1"/>
      <x:c r="I12" s="1"/>
      <x:c r="J12" s="1"/>
      <x:c r="K12" s="1"/>
      <x:c r="L12" s="1"/>
      <x:c r="M12" s="1"/>
      <x:c r="N12" s="1"/>
      <x:c r="O12" s="1"/>
      <x:c r="P12" s="1"/>
      <x:c r="Q12" s="1"/>
      <x:c r="R12" s="1"/>
      <x:c r="S12" s="1"/>
      <x:c r="T12" s="1"/>
      <x:c r="U12" s="1"/>
      <x:c r="V12" s="1"/>
      <x:c r="W12" s="1"/>
      <x:c r="X12" s="1"/>
      <x:c r="Y12" s="1"/>
      <x:c r="Z12" s="1"/>
    </x:row>
    <x:row r="13">
      <x:c r="A13" s="109" t="str">
        <x:v>Inventory days</x:v>
      </x:c>
      <x:c r="B13" s="218" t="n">
        <x:f>B10/B7*365</x:f>
        <x:v>32.75376348764358</x:v>
      </x:c>
      <x:c r="C13" s="218" t="n">
        <x:f>C10/C7*365</x:f>
        <x:v>30.81434367386008</x:v>
      </x:c>
      <x:c r="D13" s="218" t="n">
        <x:f>C13-B13</x:f>
        <x:v>-1.939419813783502</x:v>
      </x:c>
      <x:c r="E13" s="1"/>
      <x:c r="F13" s="1"/>
      <x:c r="G13" s="1"/>
      <x:c r="H13" s="1"/>
      <x:c r="I13" s="1"/>
      <x:c r="J13" s="1"/>
      <x:c r="K13" s="1"/>
      <x:c r="L13" s="1"/>
      <x:c r="M13" s="1"/>
      <x:c r="N13" s="1"/>
      <x:c r="O13" s="1"/>
      <x:c r="P13" s="1"/>
      <x:c r="Q13" s="1"/>
      <x:c r="R13" s="1"/>
      <x:c r="S13" s="1"/>
      <x:c r="T13" s="1"/>
      <x:c r="U13" s="1"/>
      <x:c r="V13" s="1"/>
      <x:c r="W13" s="1"/>
      <x:c r="X13" s="1"/>
      <x:c r="Y13" s="1"/>
      <x:c r="Z13" s="1"/>
    </x:row>
    <x:row r="14">
      <x:c r="A14" s="223" t="str">
        <x:v>Cash conversion cycle</x:v>
      </x:c>
      <x:c r="B14" s="221" t="n">
        <x:f>B11+B13-B12</x:f>
        <x:v>34.93734772015315</x:v>
      </x:c>
      <x:c r="C14" s="221" t="n">
        <x:f>C11+C13-C12</x:f>
        <x:v>33.80281293508528</x:v>
      </x:c>
      <x:c r="D14" s="222" t="n">
        <x:f>C14-B14</x:f>
        <x:v>-1.1345347850678706</x:v>
      </x:c>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sheetData>
  <x:mergeCells>
    <x:mergeCell ref="A1:H2"/>
    <x:mergeCell ref="A3:H3"/>
    <x:mergeCell ref="F5:H5"/>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25" customHeight="1">
      <x:c r="A1" s="4" t="str">
        <x:v>LIQUIDITY DECISION DASHBOARD</x:v>
      </x:c>
      <x:c r="B1" s="4"/>
      <x:c r="C1" s="4"/>
      <x:c r="D1" s="4"/>
      <x:c r="E1" s="4"/>
      <x:c r="F1" s="4"/>
      <x:c r="G1" s="4"/>
      <x:c r="H1" s="4"/>
      <x:c r="I1" s="4"/>
      <x:c r="J1" s="4"/>
      <x:c r="K1" s="4"/>
      <x:c r="L1" s="4"/>
      <x:c r="M1" s="4"/>
      <x:c r="N1" s="4"/>
      <x:c r="O1" s="1"/>
      <x:c r="P1" s="1"/>
      <x:c r="Q1" s="1"/>
      <x:c r="R1" s="1"/>
      <x:c r="S1" s="1"/>
      <x:c r="T1" s="1"/>
      <x:c r="U1" s="1"/>
      <x:c r="V1" s="1"/>
      <x:c r="W1" s="1"/>
      <x:c r="X1" s="1"/>
      <x:c r="Y1" s="1"/>
      <x:c r="Z1" s="1"/>
    </x:row>
    <x:row r="2" ht="25" customHeight="1">
      <x:c r="A2" s="4"/>
      <x:c r="B2" s="4"/>
      <x:c r="C2" s="4"/>
      <x:c r="D2" s="4"/>
      <x:c r="E2" s="4"/>
      <x:c r="F2" s="4"/>
      <x:c r="G2" s="4"/>
      <x:c r="H2" s="4"/>
      <x:c r="I2" s="4"/>
      <x:c r="J2" s="4"/>
      <x:c r="K2" s="4"/>
      <x:c r="L2" s="4"/>
      <x:c r="M2" s="4"/>
      <x:c r="N2" s="4"/>
      <x:c r="O2" s="1"/>
      <x:c r="P2" s="1"/>
      <x:c r="Q2" s="1"/>
      <x:c r="R2" s="1"/>
      <x:c r="S2" s="1"/>
      <x:c r="T2" s="1"/>
      <x:c r="U2" s="1"/>
      <x:c r="V2" s="1"/>
      <x:c r="W2" s="1"/>
      <x:c r="X2" s="1"/>
      <x:c r="Y2" s="1"/>
      <x:c r="Z2" s="1"/>
    </x:row>
    <x:row r="3" ht="25" customHeight="1">
      <x:c r="A3" s="7" t="str">
        <x:v>13-week cash visibility · working-capital actions · selected scenario</x:v>
      </x:c>
      <x:c r="B3" s="7"/>
      <x:c r="C3" s="7"/>
      <x:c r="D3" s="7"/>
      <x:c r="E3" s="7"/>
      <x:c r="F3" s="7"/>
      <x:c r="G3" s="7"/>
      <x:c r="H3" s="7"/>
      <x:c r="I3" s="7"/>
      <x:c r="J3" s="7"/>
      <x:c r="K3" s="7"/>
      <x:c r="L3" s="7"/>
      <x:c r="M3" s="7"/>
      <x:c r="N3" s="7"/>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226" t="str">
        <x:f>"SCENARIO: "&amp;'Assumptions'!$B$6</x:f>
        <x:v>SCENARIO: Base</x:v>
      </x:c>
      <x:c r="B5" s="226"/>
      <x:c r="C5" s="226"/>
      <x:c r="D5" s="226"/>
      <x:c r="E5" s="226"/>
      <x:c r="F5" s="226"/>
      <x:c r="G5" s="226"/>
      <x:c r="H5" s="226"/>
      <x:c r="I5" s="226"/>
      <x:c r="J5" s="226"/>
      <x:c r="K5" s="226"/>
      <x:c r="L5" s="226"/>
      <x:c r="M5" s="226"/>
      <x:c r="N5" s="226"/>
      <x:c r="O5" s="1"/>
      <x:c r="P5" s="1"/>
      <x:c r="Q5" s="1"/>
      <x:c r="R5" s="1"/>
      <x:c r="S5" s="1"/>
      <x:c r="T5" s="1"/>
      <x:c r="U5" s="1"/>
      <x:c r="V5" s="1"/>
      <x:c r="W5" s="1"/>
      <x:c r="X5" s="1"/>
      <x:c r="Y5" s="1"/>
      <x:c r="Z5" s="1"/>
    </x:row>
    <x:row r="6">
      <x:c r="A6" s="1"/>
      <x:c r="B6" s="1"/>
      <x:c r="C6" s="1"/>
      <x:c r="D6" s="1"/>
      <x:c r="E6" s="1"/>
      <x:c r="F6" s="1"/>
      <x:c r="G6" s="1"/>
      <x:c r="H6" s="1"/>
      <x:c r="I6" s="1"/>
      <x:c r="J6" s="1"/>
      <x:c r="K6" s="1"/>
      <x:c r="L6" s="1"/>
      <x:c r="M6" s="1"/>
      <x:c r="N6" s="1"/>
      <x:c r="O6" s="1"/>
      <x:c r="P6" s="1"/>
      <x:c r="Q6" s="1"/>
      <x:c r="R6" s="1"/>
      <x:c r="S6" s="1"/>
      <x:c r="T6" s="1"/>
      <x:c r="U6" s="1"/>
      <x:c r="V6" s="1"/>
      <x:c r="W6" s="1"/>
      <x:c r="X6" s="1"/>
      <x:c r="Y6" s="1"/>
      <x:c r="Z6" s="1"/>
    </x:row>
    <x:row r="7">
      <x:c r="A7" s="242" t="str">
        <x:v>13W CLOSING CASH</x:v>
      </x:c>
      <x:c r="B7" s="243"/>
      <x:c r="C7" s="244"/>
      <x:c r="D7" s="1"/>
      <x:c r="E7" s="242" t="str">
        <x:v>FACILITY UTILIZED</x:v>
      </x:c>
      <x:c r="F7" s="243"/>
      <x:c r="G7" s="244"/>
      <x:c r="H7" s="1"/>
      <x:c r="I7" s="242" t="str">
        <x:v>PROJECTED CCC</x:v>
      </x:c>
      <x:c r="J7" s="243"/>
      <x:c r="K7" s="244"/>
      <x:c r="L7" s="1"/>
      <x:c r="M7" s="242" t="str">
        <x:v>MODEL STATUS</x:v>
      </x:c>
      <x:c r="N7" s="244"/>
      <x:c r="O7" s="1"/>
      <x:c r="P7" s="1"/>
      <x:c r="Q7" s="1"/>
      <x:c r="R7" s="1"/>
      <x:c r="S7" s="1"/>
      <x:c r="T7" s="1"/>
      <x:c r="U7" s="1"/>
      <x:c r="V7" s="1"/>
      <x:c r="W7" s="1"/>
      <x:c r="X7" s="1"/>
      <x:c r="Y7" s="1"/>
      <x:c r="Z7" s="1"/>
    </x:row>
    <x:row r="8">
      <x:c r="A8" s="257" t="n">
        <x:f>'13W_Cash_Flow'!N29</x:f>
        <x:v>-2533170</x:v>
      </x:c>
      <x:c r="B8" s="258"/>
      <x:c r="C8" s="259"/>
      <x:c r="D8" s="1"/>
      <x:c r="E8" s="275" t="n">
        <x:f>SUM('13W_Cash_Flow'!B28:N28)</x:f>
        <x:v>750000</x:v>
      </x:c>
      <x:c r="F8" s="276"/>
      <x:c r="G8" s="277"/>
      <x:c r="H8" s="1"/>
      <x:c r="I8" s="293" t="n">
        <x:f>'Working_Capital'!C14</x:f>
        <x:v>33.80281293508528</x:v>
      </x:c>
      <x:c r="J8" s="294"/>
      <x:c r="K8" s="295"/>
      <x:c r="L8" s="1"/>
      <x:c r="M8" s="307" t="str">
        <x:f>'Checks'!B3</x:f>
        <x:v>PASS</x:v>
      </x:c>
      <x:c r="N8" s="308"/>
      <x:c r="O8" s="1"/>
      <x:c r="P8" s="1"/>
      <x:c r="Q8" s="1"/>
      <x:c r="R8" s="1"/>
      <x:c r="S8" s="1"/>
      <x:c r="T8" s="1"/>
      <x:c r="U8" s="1"/>
      <x:c r="V8" s="1"/>
      <x:c r="W8" s="1"/>
      <x:c r="X8" s="1"/>
      <x:c r="Y8" s="1"/>
      <x:c r="Z8" s="1"/>
    </x:row>
    <x:row r="9">
      <x:c r="A9" s="257"/>
      <x:c r="B9" s="258"/>
      <x:c r="C9" s="259"/>
      <x:c r="D9" s="1"/>
      <x:c r="E9" s="275"/>
      <x:c r="F9" s="276"/>
      <x:c r="G9" s="277"/>
      <x:c r="H9" s="1"/>
      <x:c r="I9" s="293"/>
      <x:c r="J9" s="294"/>
      <x:c r="K9" s="295"/>
      <x:c r="L9" s="1"/>
      <x:c r="M9" s="307"/>
      <x:c r="N9" s="308"/>
      <x:c r="O9" s="1"/>
      <x:c r="P9" s="1"/>
      <x:c r="Q9" s="1"/>
      <x:c r="R9" s="1"/>
      <x:c r="S9" s="1"/>
      <x:c r="T9" s="1"/>
      <x:c r="U9" s="1"/>
      <x:c r="V9" s="1"/>
      <x:c r="W9" s="1"/>
      <x:c r="X9" s="1"/>
      <x:c r="Y9" s="1"/>
      <x:c r="Z9" s="1"/>
    </x:row>
    <x:row r="10">
      <x:c r="A10" s="260"/>
      <x:c r="B10" s="261"/>
      <x:c r="C10" s="262"/>
      <x:c r="D10" s="1"/>
      <x:c r="E10" s="278"/>
      <x:c r="F10" s="279"/>
      <x:c r="G10" s="280"/>
      <x:c r="H10" s="1"/>
      <x:c r="I10" s="296"/>
      <x:c r="J10" s="297"/>
      <x:c r="K10" s="298"/>
      <x:c r="L10" s="1"/>
      <x:c r="M10" s="309"/>
      <x:c r="N10" s="310"/>
      <x:c r="O10" s="1"/>
      <x:c r="P10" s="1"/>
      <x:c r="Q10" s="1"/>
      <x:c r="R10" s="1"/>
      <x:c r="S10" s="1"/>
      <x:c r="T10" s="1"/>
      <x:c r="U10" s="1"/>
      <x:c r="V10" s="1"/>
      <x:c r="W10" s="1"/>
      <x:c r="X10" s="1"/>
      <x:c r="Y10" s="1"/>
      <x:c r="Z10" s="1"/>
    </x:row>
    <x:row r="11">
      <x:c r="A11" s="1"/>
      <x:c r="B11" s="1"/>
      <x:c r="C11" s="1"/>
      <x:c r="D11" s="1"/>
      <x:c r="E11" s="1"/>
      <x:c r="F11" s="1"/>
      <x:c r="G11" s="1"/>
      <x:c r="H11" s="1"/>
      <x:c r="I11" s="1"/>
      <x:c r="J11" s="1"/>
      <x:c r="K11" s="1"/>
      <x:c r="L11" s="1"/>
      <x:c r="M11" s="1"/>
      <x:c r="N11" s="1"/>
      <x:c r="O11" s="1"/>
      <x:c r="P11" s="1"/>
      <x:c r="Q11" s="1"/>
      <x:c r="R11" s="1"/>
      <x:c r="S11" s="1"/>
      <x:c r="T11" s="1"/>
      <x:c r="U11" s="1"/>
      <x:c r="V11" s="1"/>
      <x:c r="W11" s="1"/>
      <x:c r="X11" s="1"/>
      <x:c r="Y11" s="1"/>
      <x:c r="Z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row>
    <x:row r="13">
      <x:c r="A13" s="155" t="str">
        <x:v>Week</x:v>
      </x:c>
      <x:c r="B13" s="155" t="n">
        <x:v>1</x:v>
      </x:c>
      <x:c r="C13" s="155" t="n">
        <x:v>2</x:v>
      </x:c>
      <x:c r="D13" s="155" t="n">
        <x:v>3</x:v>
      </x:c>
      <x:c r="E13" s="155" t="n">
        <x:v>4</x:v>
      </x:c>
      <x:c r="F13" s="155" t="n">
        <x:v>5</x:v>
      </x:c>
      <x:c r="G13" s="155" t="n">
        <x:v>6</x:v>
      </x:c>
      <x:c r="H13" s="155" t="n">
        <x:v>7</x:v>
      </x:c>
      <x:c r="I13" s="155" t="n">
        <x:v>8</x:v>
      </x:c>
      <x:c r="J13" s="155" t="n">
        <x:v>9</x:v>
      </x:c>
      <x:c r="K13" s="155" t="n">
        <x:v>10</x:v>
      </x:c>
      <x:c r="L13" s="155" t="n">
        <x:v>11</x:v>
      </x:c>
      <x:c r="M13" s="155" t="n">
        <x:v>12</x:v>
      </x:c>
      <x:c r="N13" s="155" t="n">
        <x:v>13</x:v>
      </x:c>
      <x:c r="O13" s="1"/>
      <x:c r="P13" s="1"/>
      <x:c r="Q13" s="1"/>
      <x:c r="R13" s="1"/>
      <x:c r="S13" s="1"/>
      <x:c r="T13" s="1"/>
      <x:c r="U13" s="1"/>
      <x:c r="V13" s="1"/>
      <x:c r="W13" s="1"/>
      <x:c r="X13" s="1"/>
      <x:c r="Y13" s="1"/>
      <x:c r="Z13" s="1"/>
    </x:row>
    <x:row r="14">
      <x:c r="A14" s="108" t="str">
        <x:v>Ending cash</x:v>
      </x:c>
      <x:c r="B14" s="167" t="n">
        <x:f>'13W_Cash_Flow'!B29</x:f>
        <x:v>500000</x:v>
      </x:c>
      <x:c r="C14" s="167" t="n">
        <x:f>'13W_Cash_Flow'!C29</x:f>
        <x:v>500000</x:v>
      </x:c>
      <x:c r="D14" s="167" t="n">
        <x:f>'13W_Cash_Flow'!D29</x:f>
        <x:v>333650</x:v>
      </x:c>
      <x:c r="E14" s="167" t="n">
        <x:f>'13W_Cash_Flow'!E29</x:f>
        <x:v>159300</x:v>
      </x:c>
      <x:c r="F14" s="167" t="n">
        <x:f>'13W_Cash_Flow'!F29</x:f>
        <x:v>-20800</x:v>
      </x:c>
      <x:c r="G14" s="167" t="n">
        <x:f>'13W_Cash_Flow'!G29</x:f>
        <x:v>-279640</x:v>
      </x:c>
      <x:c r="H14" s="167" t="n">
        <x:f>'13W_Cash_Flow'!H29</x:f>
        <x:v>-712710</x:v>
      </x:c>
      <x:c r="I14" s="167" t="n">
        <x:f>'13W_Cash_Flow'!I29</x:f>
        <x:v>-990210</x:v>
      </x:c>
      <x:c r="J14" s="167" t="n">
        <x:f>'13W_Cash_Flow'!J29</x:f>
        <x:v>-1261170</x:v>
      </x:c>
      <x:c r="K14" s="167" t="n">
        <x:f>'13W_Cash_Flow'!K29</x:f>
        <x:v>-1537410</x:v>
      </x:c>
      <x:c r="L14" s="167" t="n">
        <x:f>'13W_Cash_Flow'!L29</x:f>
        <x:v>-1869330</x:v>
      </x:c>
      <x:c r="M14" s="167" t="n">
        <x:f>'13W_Cash_Flow'!M29</x:f>
        <x:v>-2201250</x:v>
      </x:c>
      <x:c r="N14" s="167" t="n">
        <x:f>'13W_Cash_Flow'!N29</x:f>
        <x:v>-2533170</x:v>
      </x:c>
      <x:c r="O14" s="1"/>
      <x:c r="P14" s="1"/>
      <x:c r="Q14" s="1"/>
      <x:c r="R14" s="1"/>
      <x:c r="S14" s="1"/>
      <x:c r="T14" s="1"/>
      <x:c r="U14" s="1"/>
      <x:c r="V14" s="1"/>
      <x:c r="W14" s="1"/>
      <x:c r="X14" s="1"/>
      <x:c r="Y14" s="1"/>
      <x:c r="Z14" s="1"/>
    </x:row>
    <x:row r="15">
      <x:c r="A15" s="109" t="str">
        <x:v>Cash guardrail</x:v>
      </x:c>
      <x:c r="B15" s="168" t="n">
        <x:f>'13W_Cash_Flow'!B32</x:f>
        <x:v>500000</x:v>
      </x:c>
      <x:c r="C15" s="168" t="n">
        <x:f>'13W_Cash_Flow'!C32</x:f>
        <x:v>500000</x:v>
      </x:c>
      <x:c r="D15" s="168" t="n">
        <x:f>'13W_Cash_Flow'!D32</x:f>
        <x:v>500000</x:v>
      </x:c>
      <x:c r="E15" s="168" t="n">
        <x:f>'13W_Cash_Flow'!E32</x:f>
        <x:v>500000</x:v>
      </x:c>
      <x:c r="F15" s="168" t="n">
        <x:f>'13W_Cash_Flow'!F32</x:f>
        <x:v>500000</x:v>
      </x:c>
      <x:c r="G15" s="168" t="n">
        <x:f>'13W_Cash_Flow'!G32</x:f>
        <x:v>500000</x:v>
      </x:c>
      <x:c r="H15" s="168" t="n">
        <x:f>'13W_Cash_Flow'!H32</x:f>
        <x:v>500000</x:v>
      </x:c>
      <x:c r="I15" s="168" t="n">
        <x:f>'13W_Cash_Flow'!I32</x:f>
        <x:v>500000</x:v>
      </x:c>
      <x:c r="J15" s="168" t="n">
        <x:f>'13W_Cash_Flow'!J32</x:f>
        <x:v>500000</x:v>
      </x:c>
      <x:c r="K15" s="168" t="n">
        <x:f>'13W_Cash_Flow'!K32</x:f>
        <x:v>500000</x:v>
      </x:c>
      <x:c r="L15" s="168" t="n">
        <x:f>'13W_Cash_Flow'!L32</x:f>
        <x:v>500000</x:v>
      </x:c>
      <x:c r="M15" s="168" t="n">
        <x:f>'13W_Cash_Flow'!M32</x:f>
        <x:v>500000</x:v>
      </x:c>
      <x:c r="N15" s="168" t="n">
        <x:f>'13W_Cash_Flow'!N32</x:f>
        <x:v>500000</x:v>
      </x:c>
      <x:c r="O15" s="1"/>
      <x:c r="P15" s="1"/>
      <x:c r="Q15" s="1"/>
      <x:c r="R15" s="1"/>
      <x:c r="S15" s="1"/>
      <x:c r="T15" s="1"/>
      <x:c r="U15" s="1"/>
      <x:c r="V15" s="1"/>
      <x:c r="W15" s="1"/>
      <x:c r="X15" s="1"/>
      <x:c r="Y15" s="1"/>
      <x:c r="Z15" s="1"/>
    </x:row>
    <x:row r="16">
      <x:c r="A16" s="109" t="str">
        <x:v>Liquidity headroom</x:v>
      </x:c>
      <x:c r="B16" s="168" t="n">
        <x:f>'13W_Cash_Flow'!B31</x:f>
        <x:v>590600</x:v>
      </x:c>
      <x:c r="C16" s="168" t="n">
        <x:f>'13W_Cash_Flow'!C31</x:f>
        <x:v>31830</x:v>
      </x:c>
      <x:c r="D16" s="168" t="n">
        <x:f>'13W_Cash_Flow'!D31</x:f>
        <x:v>-166350</x:v>
      </x:c>
      <x:c r="E16" s="168" t="n">
        <x:f>'13W_Cash_Flow'!E31</x:f>
        <x:v>-340700</x:v>
      </x:c>
      <x:c r="F16" s="168" t="n">
        <x:f>'13W_Cash_Flow'!F31</x:f>
        <x:v>-520800</x:v>
      </x:c>
      <x:c r="G16" s="168" t="n">
        <x:f>'13W_Cash_Flow'!G31</x:f>
        <x:v>-779640</x:v>
      </x:c>
      <x:c r="H16" s="168" t="n">
        <x:f>'13W_Cash_Flow'!H31</x:f>
        <x:v>-1212710</x:v>
      </x:c>
      <x:c r="I16" s="168" t="n">
        <x:f>'13W_Cash_Flow'!I31</x:f>
        <x:v>-1490210</x:v>
      </x:c>
      <x:c r="J16" s="168" t="n">
        <x:f>'13W_Cash_Flow'!J31</x:f>
        <x:v>-1761170</x:v>
      </x:c>
      <x:c r="K16" s="168" t="n">
        <x:f>'13W_Cash_Flow'!K31</x:f>
        <x:v>-2037410</x:v>
      </x:c>
      <x:c r="L16" s="168" t="n">
        <x:f>'13W_Cash_Flow'!L31</x:f>
        <x:v>-2369330</x:v>
      </x:c>
      <x:c r="M16" s="168" t="n">
        <x:f>'13W_Cash_Flow'!M31</x:f>
        <x:v>-2701250</x:v>
      </x:c>
      <x:c r="N16" s="168" t="n">
        <x:f>'13W_Cash_Flow'!N31</x:f>
        <x:v>-3033170</x:v>
      </x:c>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55" t="str">
        <x:v>Week</x:v>
      </x:c>
      <x:c r="B36" s="155" t="n">
        <x:v>1</x:v>
      </x:c>
      <x:c r="C36" s="155" t="n">
        <x:v>2</x:v>
      </x:c>
      <x:c r="D36" s="155" t="n">
        <x:v>3</x:v>
      </x:c>
      <x:c r="E36" s="155" t="n">
        <x:v>4</x:v>
      </x:c>
      <x:c r="F36" s="155" t="n">
        <x:v>5</x:v>
      </x:c>
      <x:c r="G36" s="155" t="n">
        <x:v>6</x:v>
      </x:c>
      <x:c r="H36" s="155" t="n">
        <x:v>7</x:v>
      </x:c>
      <x:c r="I36" s="155" t="n">
        <x:v>8</x:v>
      </x:c>
      <x:c r="J36" s="155" t="n">
        <x:v>9</x:v>
      </x:c>
      <x:c r="K36" s="155" t="n">
        <x:v>10</x:v>
      </x:c>
      <x:c r="L36" s="155" t="n">
        <x:v>11</x:v>
      </x:c>
      <x:c r="M36" s="155" t="n">
        <x:v>12</x:v>
      </x:c>
      <x:c r="N36" s="155" t="n">
        <x:v>13</x:v>
      </x:c>
      <x:c r="O36" s="1"/>
      <x:c r="P36" s="1"/>
      <x:c r="Q36" s="1"/>
      <x:c r="R36" s="1"/>
      <x:c r="S36" s="1"/>
      <x:c r="T36" s="1"/>
      <x:c r="U36" s="1"/>
      <x:c r="V36" s="1"/>
      <x:c r="W36" s="1"/>
      <x:c r="X36" s="1"/>
      <x:c r="Y36" s="1"/>
      <x:c r="Z36" s="1"/>
    </x:row>
    <x:row r="37">
      <x:c r="A37" s="108" t="str">
        <x:v>Inflows</x:v>
      </x:c>
      <x:c r="B37" s="167" t="n">
        <x:f>'13W_Cash_Flow'!B13</x:f>
        <x:v>396520</x:v>
      </x:c>
      <x:c r="C37" s="167" t="n">
        <x:f>'13W_Cash_Flow'!C13</x:f>
        <x:v>371800</x:v>
      </x:c>
      <x:c r="D37" s="167" t="n">
        <x:f>'13W_Cash_Flow'!D13</x:f>
        <x:v>720040</x:v>
      </x:c>
      <x:c r="E37" s="167" t="n">
        <x:f>'13W_Cash_Flow'!E13</x:f>
        <x:v>696320</x:v>
      </x:c>
      <x:c r="F37" s="167" t="n">
        <x:f>'13W_Cash_Flow'!F13</x:f>
        <x:v>691520</x:v>
      </x:c>
      <x:c r="G37" s="167" t="n">
        <x:f>'13W_Cash_Flow'!G13</x:f>
        <x:v>617080</x:v>
      </x:c>
      <x:c r="H37" s="167" t="n">
        <x:f>'13W_Cash_Flow'!H13</x:f>
        <x:v>612400</x:v>
      </x:c>
      <x:c r="I37" s="167" t="n">
        <x:f>'13W_Cash_Flow'!I13</x:f>
        <x:v>595120</x:v>
      </x:c>
      <x:c r="J37" s="167" t="n">
        <x:f>'13W_Cash_Flow'!J13</x:f>
        <x:v>592160</x:v>
      </x:c>
      <x:c r="K37" s="167" t="n">
        <x:f>'13W_Cash_Flow'!K13</x:f>
        <x:v>579280</x:v>
      </x:c>
      <x:c r="L37" s="167" t="n">
        <x:f>'13W_Cash_Flow'!L13</x:f>
        <x:v>364000</x:v>
      </x:c>
      <x:c r="M37" s="167" t="n">
        <x:f>'13W_Cash_Flow'!M13</x:f>
        <x:v>364000</x:v>
      </x:c>
      <x:c r="N37" s="167" t="n">
        <x:f>'13W_Cash_Flow'!N13</x:f>
        <x:v>364000</x:v>
      </x:c>
      <x:c r="O37" s="1"/>
      <x:c r="P37" s="1"/>
      <x:c r="Q37" s="1"/>
      <x:c r="R37" s="1"/>
      <x:c r="S37" s="1"/>
      <x:c r="T37" s="1"/>
      <x:c r="U37" s="1"/>
      <x:c r="V37" s="1"/>
      <x:c r="W37" s="1"/>
      <x:c r="X37" s="1"/>
      <x:c r="Y37" s="1"/>
      <x:c r="Z37" s="1"/>
    </x:row>
    <x:row r="38">
      <x:c r="A38" s="109" t="str">
        <x:v>Outflows</x:v>
      </x:c>
      <x:c r="B38" s="168" t="n">
        <x:f>'13W_Cash_Flow'!B24</x:f>
        <x:v>955920</x:v>
      </x:c>
      <x:c r="C38" s="168" t="n">
        <x:f>'13W_Cash_Flow'!C24</x:f>
        <x:v>930570</x:v>
      </x:c>
      <x:c r="D38" s="168" t="n">
        <x:f>'13W_Cash_Flow'!D24</x:f>
        <x:v>918220</x:v>
      </x:c>
      <x:c r="E38" s="168" t="n">
        <x:f>'13W_Cash_Flow'!E24</x:f>
        <x:v>870670</x:v>
      </x:c>
      <x:c r="F38" s="168" t="n">
        <x:f>'13W_Cash_Flow'!F24</x:f>
        <x:v>871620</x:v>
      </x:c>
      <x:c r="G38" s="168" t="n">
        <x:f>'13W_Cash_Flow'!G24</x:f>
        <x:v>875920</x:v>
      </x:c>
      <x:c r="H38" s="168" t="n">
        <x:f>'13W_Cash_Flow'!H24</x:f>
        <x:v>1045470</x:v>
      </x:c>
      <x:c r="I38" s="168" t="n">
        <x:f>'13W_Cash_Flow'!I24</x:f>
        <x:v>872620</x:v>
      </x:c>
      <x:c r="J38" s="168" t="n">
        <x:f>'13W_Cash_Flow'!J24</x:f>
        <x:v>863120</x:v>
      </x:c>
      <x:c r="K38" s="168" t="n">
        <x:f>'13W_Cash_Flow'!K24</x:f>
        <x:v>855520</x:v>
      </x:c>
      <x:c r="L38" s="168" t="n">
        <x:f>'13W_Cash_Flow'!L24</x:f>
        <x:v>695920</x:v>
      </x:c>
      <x:c r="M38" s="168" t="n">
        <x:f>'13W_Cash_Flow'!M24</x:f>
        <x:v>695920</x:v>
      </x:c>
      <x:c r="N38" s="168" t="n">
        <x:f>'13W_Cash_Flow'!N24</x:f>
        <x:v>695920</x:v>
      </x:c>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70" t="str">
        <x:v>MANAGEMENT ACTIONS</x:v>
      </x:c>
      <x:c r="B41" s="70"/>
      <x:c r="C41" s="70"/>
      <x:c r="D41" s="70"/>
      <x:c r="E41" s="70"/>
      <x:c r="F41" s="70"/>
      <x:c r="G41" s="70"/>
      <x:c r="H41" s="70"/>
      <x:c r="I41" s="70"/>
      <x:c r="J41" s="70"/>
      <x:c r="K41" s="70"/>
      <x:c r="L41" s="70"/>
      <x:c r="M41" s="70"/>
      <x:c r="N41" s="70"/>
      <x:c r="O41" s="1"/>
      <x:c r="P41" s="1"/>
      <x:c r="Q41" s="1"/>
      <x:c r="R41" s="1"/>
      <x:c r="S41" s="1"/>
      <x:c r="T41" s="1"/>
      <x:c r="U41" s="1"/>
      <x:c r="V41" s="1"/>
      <x:c r="W41" s="1"/>
      <x:c r="X41" s="1"/>
      <x:c r="Y41" s="1"/>
      <x:c r="Z41" s="1"/>
    </x:row>
    <x:row r="42">
      <x:c r="A42" s="329" t="str">
        <x:f>IF(SUM('13W_Cash_Flow'!B28:N28)&gt;0,"1. Facility required: protect draws with a weekly covenant and cash-headroom review.","1. No facility draw required in the selected scenario; retain the line as contingency.")&amp;CHAR(10)&amp;IF('Working_Capital'!C11&gt;'Working_Capital'!B11,"2. DSO deteriorates: prioritize overdue and high-balance customers.","2. Collections improve DSO: keep named customer actions and weekly ownership.")&amp;CHAR(10)&amp;"3. Defer purchases against verified excess inventory without disrupting critical service levels."&amp;CHAR(10)&amp;"4. Reforecast every week and distribute only when all controls show PASS."</x:f>
        <x:v>1. Facility required: protect draws with a weekly covenant and cash-headroom review.
2. Collections improve DSO: keep named customer actions and weekly ownership.
3. Defer purchases against verified excess inventory without disrupting critical service levels.
4. Reforecast every week and distribute only when all controls show PASS.</x:v>
      </x:c>
      <x:c r="B42" s="330"/>
      <x:c r="C42" s="330"/>
      <x:c r="D42" s="330"/>
      <x:c r="E42" s="330"/>
      <x:c r="F42" s="330"/>
      <x:c r="G42" s="330"/>
      <x:c r="H42" s="330"/>
      <x:c r="I42" s="330"/>
      <x:c r="J42" s="330"/>
      <x:c r="K42" s="330"/>
      <x:c r="L42" s="330"/>
      <x:c r="M42" s="330"/>
      <x:c r="N42" s="331"/>
      <x:c r="O42" s="1"/>
      <x:c r="P42" s="1"/>
      <x:c r="Q42" s="1"/>
      <x:c r="R42" s="1"/>
      <x:c r="S42" s="1"/>
      <x:c r="T42" s="1"/>
      <x:c r="U42" s="1"/>
      <x:c r="V42" s="1"/>
      <x:c r="W42" s="1"/>
      <x:c r="X42" s="1"/>
      <x:c r="Y42" s="1"/>
      <x:c r="Z42" s="1"/>
    </x:row>
    <x:row r="43">
      <x:c r="A43" s="332"/>
      <x:c r="B43" s="333"/>
      <x:c r="C43" s="333"/>
      <x:c r="D43" s="333"/>
      <x:c r="E43" s="333"/>
      <x:c r="F43" s="333"/>
      <x:c r="G43" s="333"/>
      <x:c r="H43" s="333"/>
      <x:c r="I43" s="333"/>
      <x:c r="J43" s="333"/>
      <x:c r="K43" s="333"/>
      <x:c r="L43" s="333"/>
      <x:c r="M43" s="333"/>
      <x:c r="N43" s="334"/>
      <x:c r="O43" s="1"/>
      <x:c r="P43" s="1"/>
      <x:c r="Q43" s="1"/>
      <x:c r="R43" s="1"/>
      <x:c r="S43" s="1"/>
      <x:c r="T43" s="1"/>
      <x:c r="U43" s="1"/>
      <x:c r="V43" s="1"/>
      <x:c r="W43" s="1"/>
      <x:c r="X43" s="1"/>
      <x:c r="Y43" s="1"/>
      <x:c r="Z43" s="1"/>
    </x:row>
    <x:row r="44">
      <x:c r="A44" s="332"/>
      <x:c r="B44" s="333"/>
      <x:c r="C44" s="333"/>
      <x:c r="D44" s="333"/>
      <x:c r="E44" s="333"/>
      <x:c r="F44" s="333"/>
      <x:c r="G44" s="333"/>
      <x:c r="H44" s="333"/>
      <x:c r="I44" s="333"/>
      <x:c r="J44" s="333"/>
      <x:c r="K44" s="333"/>
      <x:c r="L44" s="333"/>
      <x:c r="M44" s="333"/>
      <x:c r="N44" s="334"/>
      <x:c r="O44" s="1"/>
      <x:c r="P44" s="1"/>
      <x:c r="Q44" s="1"/>
      <x:c r="R44" s="1"/>
      <x:c r="S44" s="1"/>
      <x:c r="T44" s="1"/>
      <x:c r="U44" s="1"/>
      <x:c r="V44" s="1"/>
      <x:c r="W44" s="1"/>
      <x:c r="X44" s="1"/>
      <x:c r="Y44" s="1"/>
      <x:c r="Z44" s="1"/>
    </x:row>
    <x:row r="45">
      <x:c r="A45" s="332"/>
      <x:c r="B45" s="333"/>
      <x:c r="C45" s="333"/>
      <x:c r="D45" s="333"/>
      <x:c r="E45" s="333"/>
      <x:c r="F45" s="333"/>
      <x:c r="G45" s="333"/>
      <x:c r="H45" s="333"/>
      <x:c r="I45" s="333"/>
      <x:c r="J45" s="333"/>
      <x:c r="K45" s="333"/>
      <x:c r="L45" s="333"/>
      <x:c r="M45" s="333"/>
      <x:c r="N45" s="334"/>
      <x:c r="O45" s="1"/>
      <x:c r="P45" s="1"/>
      <x:c r="Q45" s="1"/>
      <x:c r="R45" s="1"/>
      <x:c r="S45" s="1"/>
      <x:c r="T45" s="1"/>
      <x:c r="U45" s="1"/>
      <x:c r="V45" s="1"/>
      <x:c r="W45" s="1"/>
      <x:c r="X45" s="1"/>
      <x:c r="Y45" s="1"/>
      <x:c r="Z45" s="1"/>
    </x:row>
    <x:row r="46">
      <x:c r="A46" s="335"/>
      <x:c r="B46" s="336"/>
      <x:c r="C46" s="336"/>
      <x:c r="D46" s="336"/>
      <x:c r="E46" s="336"/>
      <x:c r="F46" s="336"/>
      <x:c r="G46" s="336"/>
      <x:c r="H46" s="336"/>
      <x:c r="I46" s="336"/>
      <x:c r="J46" s="336"/>
      <x:c r="K46" s="336"/>
      <x:c r="L46" s="336"/>
      <x:c r="M46" s="336"/>
      <x:c r="N46" s="337"/>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sheetData>
  <x:mergeCells>
    <x:mergeCell ref="A1:N2"/>
    <x:mergeCell ref="A3:N3"/>
    <x:mergeCell ref="A5:N5"/>
    <x:mergeCell ref="A7:C7"/>
    <x:mergeCell ref="A8:C10"/>
    <x:mergeCell ref="E7:G7"/>
    <x:mergeCell ref="E8:G10"/>
    <x:mergeCell ref="I7:K7"/>
    <x:mergeCell ref="I8:K10"/>
    <x:mergeCell ref="M7:N7"/>
    <x:mergeCell ref="M8:N10"/>
    <x:mergeCell ref="A41:N41"/>
    <x:mergeCell ref="A42:N46"/>
  </x:mergeCells>
  <x:pageMargins left="0.7" right="0.7" top="0.75" bottom="0.75" header="0.3" footer="0.3"/>
  <x:drawing xmlns:r="http://schemas.openxmlformats.org/officeDocument/2006/relationships" r:id="Re457e6d02c3b4b15"/>
</x:worksheet>
</file>

<file path=xl/worksheets/sheet10.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16" hidden="0" customWidth="1"/>
    <x:col min="4" max="4" width="16" hidden="0" customWidth="1"/>
    <x:col min="5" max="5" width="16" hidden="0" customWidth="1"/>
    <x:col min="6" max="6" width="12" hidden="0" customWidth="1"/>
    <x:col min="7" max="7" width="20" hidden="0" customWidth="1"/>
    <x:col min="8" max="8" width="36" hidden="0" customWidth="1"/>
  </x:cols>
  <x:sheetData>
    <x:row r="1" ht="25" customHeight="1">
      <x:c r="A1" s="4" t="str">
        <x:v>MODEL CHECKS</x:v>
      </x:c>
      <x:c r="B1" s="4"/>
      <x:c r="C1" s="4"/>
      <x:c r="D1" s="4"/>
      <x:c r="E1" s="4"/>
      <x:c r="F1" s="4"/>
      <x:c r="G1" s="4"/>
      <x:c r="H1" s="4"/>
      <x:c r="I1" s="1"/>
      <x:c r="J1" s="1"/>
      <x:c r="K1" s="1"/>
      <x:c r="L1" s="1"/>
      <x:c r="M1" s="1"/>
      <x:c r="N1" s="1"/>
      <x:c r="O1" s="1"/>
      <x:c r="P1" s="1"/>
      <x:c r="Q1" s="1"/>
      <x:c r="R1" s="1"/>
      <x:c r="S1" s="1"/>
      <x:c r="T1" s="1"/>
      <x:c r="U1" s="1"/>
      <x:c r="V1" s="1"/>
      <x:c r="W1" s="1"/>
      <x:c r="X1" s="1"/>
      <x:c r="Y1" s="1"/>
      <x:c r="Z1" s="1"/>
    </x:row>
    <x:row r="2" ht="25" customHeight="1">
      <x:c r="A2" s="4"/>
      <x:c r="B2" s="4"/>
      <x:c r="C2" s="4"/>
      <x:c r="D2" s="4"/>
      <x:c r="E2" s="4"/>
      <x:c r="F2" s="4"/>
      <x:c r="G2" s="4"/>
      <x:c r="H2" s="4"/>
      <x:c r="I2" s="1"/>
      <x:c r="J2" s="1"/>
      <x:c r="K2" s="1"/>
      <x:c r="L2" s="1"/>
      <x:c r="M2" s="1"/>
      <x:c r="N2" s="1"/>
      <x:c r="O2" s="1"/>
      <x:c r="P2" s="1"/>
      <x:c r="Q2" s="1"/>
      <x:c r="R2" s="1"/>
      <x:c r="S2" s="1"/>
      <x:c r="T2" s="1"/>
      <x:c r="U2" s="1"/>
      <x:c r="V2" s="1"/>
      <x:c r="W2" s="1"/>
      <x:c r="X2" s="1"/>
      <x:c r="Y2" s="1"/>
      <x:c r="Z2" s="1"/>
    </x:row>
    <x:row r="3" ht="25" customHeight="1">
      <x:c r="A3" s="340" t="str">
        <x:v>MODEL STATUS</x:v>
      </x:c>
      <x:c r="B3" s="341" t="str">
        <x:f>IF(COUNTIF(F7:F14,"PASS")=8,"PASS","FAIL")</x:f>
        <x:v>PASS</x:v>
      </x:c>
      <x:c r="C3" s="7"/>
      <x:c r="D3" s="7"/>
      <x:c r="E3" s="7"/>
      <x:c r="F3" s="7"/>
      <x:c r="G3" s="7"/>
      <x:c r="H3" s="7"/>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1"/>
      <x:c r="B5" s="1"/>
      <x:c r="C5" s="1"/>
      <x:c r="D5" s="1"/>
      <x:c r="E5" s="1"/>
      <x:c r="F5" s="1"/>
      <x:c r="G5" s="1"/>
      <x:c r="H5" s="1"/>
      <x:c r="I5" s="1"/>
      <x:c r="J5" s="1"/>
      <x:c r="K5" s="1"/>
      <x:c r="L5" s="1"/>
      <x:c r="M5" s="1"/>
      <x:c r="N5" s="1"/>
      <x:c r="O5" s="1"/>
      <x:c r="P5" s="1"/>
      <x:c r="Q5" s="1"/>
      <x:c r="R5" s="1"/>
      <x:c r="S5" s="1"/>
      <x:c r="T5" s="1"/>
      <x:c r="U5" s="1"/>
      <x:c r="V5" s="1"/>
      <x:c r="W5" s="1"/>
      <x:c r="X5" s="1"/>
      <x:c r="Y5" s="1"/>
      <x:c r="Z5" s="1"/>
    </x:row>
    <x:row r="6">
      <x:c r="A6" s="155" t="str">
        <x:v>Check</x:v>
      </x:c>
      <x:c r="B6" s="155" t="str">
        <x:v>Actual</x:v>
      </x:c>
      <x:c r="C6" s="155" t="str">
        <x:v>Expected</x:v>
      </x:c>
      <x:c r="D6" s="155" t="str">
        <x:v>Difference</x:v>
      </x:c>
      <x:c r="E6" s="155" t="str">
        <x:v>Tolerance</x:v>
      </x:c>
      <x:c r="F6" s="155" t="str">
        <x:v>Status</x:v>
      </x:c>
      <x:c r="G6" s="155" t="str">
        <x:v>Where to fix</x:v>
      </x:c>
      <x:c r="H6" s="155" t="str">
        <x:v>Notes</x:v>
      </x:c>
      <x:c r="I6" s="1"/>
      <x:c r="J6" s="1"/>
      <x:c r="K6" s="1"/>
      <x:c r="L6" s="1"/>
      <x:c r="M6" s="1"/>
      <x:c r="N6" s="1"/>
      <x:c r="O6" s="1"/>
      <x:c r="P6" s="1"/>
      <x:c r="Q6" s="1"/>
      <x:c r="R6" s="1"/>
      <x:c r="S6" s="1"/>
      <x:c r="T6" s="1"/>
      <x:c r="U6" s="1"/>
      <x:c r="V6" s="1"/>
      <x:c r="W6" s="1"/>
      <x:c r="X6" s="1"/>
      <x:c r="Y6" s="1"/>
      <x:c r="Z6" s="1"/>
    </x:row>
    <x:row r="7">
      <x:c r="A7" s="108" t="str">
        <x:v>Opening AR ties</x:v>
      </x:c>
      <x:c r="B7" s="167" t="n">
        <x:f>SUM('AR_Collections'!D6:D30)</x:f>
        <x:v>3250000</x:v>
      </x:c>
      <x:c r="C7" s="167" t="n">
        <x:f>'Assumptions'!B11</x:f>
        <x:v>3250000</x:v>
      </x:c>
      <x:c r="D7" s="167" t="n">
        <x:f>B7-C7</x:f>
        <x:v>0</x:v>
      </x:c>
      <x:c r="E7" s="165" t="n">
        <x:v>1</x:v>
      </x:c>
      <x:c r="F7" s="342" t="str">
        <x:f>IF(ABS(D7)&lt;=E7,"PASS","FAIL")</x:f>
        <x:v>PASS</x:v>
      </x:c>
      <x:c r="G7" s="108" t="str">
        <x:v>AR_Collections</x:v>
      </x:c>
      <x:c r="H7" s="163" t="str">
        <x:v>Opening balance must reconcile</x:v>
      </x:c>
      <x:c r="I7" s="1"/>
      <x:c r="J7" s="1"/>
      <x:c r="K7" s="1"/>
      <x:c r="L7" s="1"/>
      <x:c r="M7" s="1"/>
      <x:c r="N7" s="1"/>
      <x:c r="O7" s="1"/>
      <x:c r="P7" s="1"/>
      <x:c r="Q7" s="1"/>
      <x:c r="R7" s="1"/>
      <x:c r="S7" s="1"/>
      <x:c r="T7" s="1"/>
      <x:c r="U7" s="1"/>
      <x:c r="V7" s="1"/>
      <x:c r="W7" s="1"/>
      <x:c r="X7" s="1"/>
      <x:c r="Y7" s="1"/>
      <x:c r="Z7" s="1"/>
    </x:row>
    <x:row r="8">
      <x:c r="A8" s="109" t="str">
        <x:v>Opening AP ties</x:v>
      </x:c>
      <x:c r="B8" s="168" t="n">
        <x:f>SUM('AP_Payments'!D6:D25)</x:f>
        <x:v>2100000</x:v>
      </x:c>
      <x:c r="C8" s="168" t="n">
        <x:f>'Assumptions'!B12</x:f>
        <x:v>2100000</x:v>
      </x:c>
      <x:c r="D8" s="168" t="n">
        <x:f>B8-C8</x:f>
        <x:v>0</x:v>
      </x:c>
      <x:c r="E8" s="166" t="n">
        <x:v>1</x:v>
      </x:c>
      <x:c r="F8" s="343" t="str">
        <x:f>IF(ABS(D8)&lt;=E8,"PASS","FAIL")</x:f>
        <x:v>PASS</x:v>
      </x:c>
      <x:c r="G8" s="109" t="str">
        <x:v>AP_Payments</x:v>
      </x:c>
      <x:c r="H8" s="164" t="str">
        <x:v>Opening balance must reconcile</x:v>
      </x:c>
      <x:c r="I8" s="1"/>
      <x:c r="J8" s="1"/>
      <x:c r="K8" s="1"/>
      <x:c r="L8" s="1"/>
      <x:c r="M8" s="1"/>
      <x:c r="N8" s="1"/>
      <x:c r="O8" s="1"/>
      <x:c r="P8" s="1"/>
      <x:c r="Q8" s="1"/>
      <x:c r="R8" s="1"/>
      <x:c r="S8" s="1"/>
      <x:c r="T8" s="1"/>
      <x:c r="U8" s="1"/>
      <x:c r="V8" s="1"/>
      <x:c r="W8" s="1"/>
      <x:c r="X8" s="1"/>
      <x:c r="Y8" s="1"/>
      <x:c r="Z8" s="1"/>
    </x:row>
    <x:row r="9">
      <x:c r="A9" s="109" t="str">
        <x:v>Opening inventory ties</x:v>
      </x:c>
      <x:c r="B9" s="168" t="n">
        <x:f>SUM('Inventory'!B6:B15)</x:f>
        <x:v>1650000</x:v>
      </x:c>
      <x:c r="C9" s="168" t="n">
        <x:f>'Assumptions'!B13</x:f>
        <x:v>1650000</x:v>
      </x:c>
      <x:c r="D9" s="168" t="n">
        <x:f>B9-C9</x:f>
        <x:v>0</x:v>
      </x:c>
      <x:c r="E9" s="166" t="n">
        <x:v>1</x:v>
      </x:c>
      <x:c r="F9" s="343" t="str">
        <x:f>IF(ABS(D9)&lt;=E9,"PASS","FAIL")</x:f>
        <x:v>PASS</x:v>
      </x:c>
      <x:c r="G9" s="109" t="str">
        <x:v>Inventory</x:v>
      </x:c>
      <x:c r="H9" s="164" t="str">
        <x:v>Opening balance must reconcile</x:v>
      </x:c>
      <x:c r="I9" s="1"/>
      <x:c r="J9" s="1"/>
      <x:c r="K9" s="1"/>
      <x:c r="L9" s="1"/>
      <x:c r="M9" s="1"/>
      <x:c r="N9" s="1"/>
      <x:c r="O9" s="1"/>
      <x:c r="P9" s="1"/>
      <x:c r="Q9" s="1"/>
      <x:c r="R9" s="1"/>
      <x:c r="S9" s="1"/>
      <x:c r="T9" s="1"/>
      <x:c r="U9" s="1"/>
      <x:c r="V9" s="1"/>
      <x:c r="W9" s="1"/>
      <x:c r="X9" s="1"/>
      <x:c r="Y9" s="1"/>
      <x:c r="Z9" s="1"/>
    </x:row>
    <x:row r="10">
      <x:c r="A10" s="109" t="str">
        <x:v>Cash roll-forward</x:v>
      </x:c>
      <x:c r="B10" s="168" t="n">
        <x:f>SUM('13W_Cash_Flow'!B29:N29)</x:f>
        <x:v>-9912740</x:v>
      </x:c>
      <x:c r="C10" s="168" t="n">
        <x:f>SUM('13W_Cash_Flow'!B27:N27)+SUM('13W_Cash_Flow'!B28:N28)</x:f>
        <x:v>-9912740</x:v>
      </x:c>
      <x:c r="D10" s="168" t="n">
        <x:f>B10-C10</x:f>
        <x:v>0</x:v>
      </x:c>
      <x:c r="E10" s="166" t="n">
        <x:v>1</x:v>
      </x:c>
      <x:c r="F10" s="343" t="str">
        <x:f>IF(ABS(D10)&lt;=E10,"PASS","FAIL")</x:f>
        <x:v>PASS</x:v>
      </x:c>
      <x:c r="G10" s="109" t="str">
        <x:v>13W_Cash_Flow</x:v>
      </x:c>
      <x:c r="H10" s="164" t="str">
        <x:v>Ending cash = pre-financing + draws</x:v>
      </x:c>
      <x:c r="I10" s="1"/>
      <x:c r="J10" s="1"/>
      <x:c r="K10" s="1"/>
      <x:c r="L10" s="1"/>
      <x:c r="M10" s="1"/>
      <x:c r="N10" s="1"/>
      <x:c r="O10" s="1"/>
      <x:c r="P10" s="1"/>
      <x:c r="Q10" s="1"/>
      <x:c r="R10" s="1"/>
      <x:c r="S10" s="1"/>
      <x:c r="T10" s="1"/>
      <x:c r="U10" s="1"/>
      <x:c r="V10" s="1"/>
      <x:c r="W10" s="1"/>
      <x:c r="X10" s="1"/>
      <x:c r="Y10" s="1"/>
      <x:c r="Z10" s="1"/>
    </x:row>
    <x:row r="11">
      <x:c r="A11" s="109" t="str">
        <x:v>Facility draw within limit</x:v>
      </x:c>
      <x:c r="B11" s="168" t="n">
        <x:f>SUM('13W_Cash_Flow'!B28:N28)</x:f>
        <x:v>750000</x:v>
      </x:c>
      <x:c r="C11" s="168" t="n">
        <x:f>'Assumptions'!B10</x:f>
        <x:v>750000</x:v>
      </x:c>
      <x:c r="D11" s="168" t="n">
        <x:f>MAX(0,B11-C11)</x:f>
        <x:v>0</x:v>
      </x:c>
      <x:c r="E11" s="166" t="n">
        <x:v>1</x:v>
      </x:c>
      <x:c r="F11" s="343" t="str">
        <x:f>IF(ABS(D11)&lt;=E11,"PASS","FAIL")</x:f>
        <x:v>PASS</x:v>
      </x:c>
      <x:c r="G11" s="109" t="str">
        <x:v>13W_Cash_Flow</x:v>
      </x:c>
      <x:c r="H11" s="164" t="str">
        <x:v>Draw cannot exceed facility</x:v>
      </x:c>
      <x:c r="I11" s="1"/>
      <x:c r="J11" s="1"/>
      <x:c r="K11" s="1"/>
      <x:c r="L11" s="1"/>
      <x:c r="M11" s="1"/>
      <x:c r="N11" s="1"/>
      <x:c r="O11" s="1"/>
      <x:c r="P11" s="1"/>
      <x:c r="Q11" s="1"/>
      <x:c r="R11" s="1"/>
      <x:c r="S11" s="1"/>
      <x:c r="T11" s="1"/>
      <x:c r="U11" s="1"/>
      <x:c r="V11" s="1"/>
      <x:c r="W11" s="1"/>
      <x:c r="X11" s="1"/>
      <x:c r="Y11" s="1"/>
      <x:c r="Z11" s="1"/>
    </x:row>
    <x:row r="12">
      <x:c r="A12" s="109" t="str">
        <x:v>Opening AR collections capped</x:v>
      </x:c>
      <x:c r="B12" s="168" t="n">
        <x:f>SUM('AR_Collections'!H6:H30)</x:f>
        <x:v>2960240</x:v>
      </x:c>
      <x:c r="C12" s="168" t="n">
        <x:f>SUM('AR_Collections'!D6:D30)</x:f>
        <x:v>3250000</x:v>
      </x:c>
      <x:c r="D12" s="168" t="n">
        <x:f>MAX(0,B12-C12)</x:f>
        <x:v>0</x:v>
      </x:c>
      <x:c r="E12" s="166" t="n">
        <x:v>1</x:v>
      </x:c>
      <x:c r="F12" s="343" t="str">
        <x:f>IF(ABS(D12)&lt;=E12,"PASS","FAIL")</x:f>
        <x:v>PASS</x:v>
      </x:c>
      <x:c r="G12" s="109" t="str">
        <x:v>AR_Collections</x:v>
      </x:c>
      <x:c r="H12" s="164" t="str">
        <x:v>Expected cash cannot exceed opening AR</x:v>
      </x:c>
      <x:c r="I12" s="1"/>
      <x:c r="J12" s="1"/>
      <x:c r="K12" s="1"/>
      <x:c r="L12" s="1"/>
      <x:c r="M12" s="1"/>
      <x:c r="N12" s="1"/>
      <x:c r="O12" s="1"/>
      <x:c r="P12" s="1"/>
      <x:c r="Q12" s="1"/>
      <x:c r="R12" s="1"/>
      <x:c r="S12" s="1"/>
      <x:c r="T12" s="1"/>
      <x:c r="U12" s="1"/>
      <x:c r="V12" s="1"/>
      <x:c r="W12" s="1"/>
      <x:c r="X12" s="1"/>
      <x:c r="Y12" s="1"/>
      <x:c r="Z12" s="1"/>
    </x:row>
    <x:row r="13">
      <x:c r="A13" s="109" t="str">
        <x:v>Scenario selector valid</x:v>
      </x:c>
      <x:c r="B13" s="168" t="n">
        <x:f>COUNTIF(Scenarios!B5:D5,'Assumptions'!B6)</x:f>
        <x:v>1</x:v>
      </x:c>
      <x:c r="C13" s="168" t="n">
        <x:f>1</x:f>
        <x:v>1</x:v>
      </x:c>
      <x:c r="D13" s="168" t="n">
        <x:f>B13-C13</x:f>
        <x:v>0</x:v>
      </x:c>
      <x:c r="E13" s="166" t="n">
        <x:v>0</x:v>
      </x:c>
      <x:c r="F13" s="343" t="str">
        <x:f>IF(ABS(D13)&lt;=E13,"PASS","FAIL")</x:f>
        <x:v>PASS</x:v>
      </x:c>
      <x:c r="G13" s="109" t="str">
        <x:v>Assumptions</x:v>
      </x:c>
      <x:c r="H13" s="164" t="str">
        <x:v>Selector must match one scenario</x:v>
      </x:c>
      <x:c r="I13" s="1"/>
      <x:c r="J13" s="1"/>
      <x:c r="K13" s="1"/>
      <x:c r="L13" s="1"/>
      <x:c r="M13" s="1"/>
      <x:c r="N13" s="1"/>
      <x:c r="O13" s="1"/>
      <x:c r="P13" s="1"/>
      <x:c r="Q13" s="1"/>
      <x:c r="R13" s="1"/>
      <x:c r="S13" s="1"/>
      <x:c r="T13" s="1"/>
      <x:c r="U13" s="1"/>
      <x:c r="V13" s="1"/>
      <x:c r="W13" s="1"/>
      <x:c r="X13" s="1"/>
      <x:c r="Y13" s="1"/>
      <x:c r="Z13" s="1"/>
    </x:row>
    <x:row r="14">
      <x:c r="A14" s="109" t="str">
        <x:v>Remaining facility non-negative</x:v>
      </x:c>
      <x:c r="B14" s="168" t="n">
        <x:f>MIN('13W_Cash_Flow'!B30:N30)</x:f>
        <x:v>0</x:v>
      </x:c>
      <x:c r="C14" s="168" t="n">
        <x:f>0</x:f>
        <x:v>0</x:v>
      </x:c>
      <x:c r="D14" s="168" t="n">
        <x:f>MIN(0,B14)</x:f>
        <x:v>0</x:v>
      </x:c>
      <x:c r="E14" s="166" t="n">
        <x:v>1</x:v>
      </x:c>
      <x:c r="F14" s="343" t="str">
        <x:f>IF(ABS(D14)&lt;=E14,"PASS","FAIL")</x:f>
        <x:v>PASS</x:v>
      </x:c>
      <x:c r="G14" s="109" t="str">
        <x:v>13W_Cash_Flow</x:v>
      </x:c>
      <x:c r="H14" s="164" t="str">
        <x:v>No negative unused facility</x:v>
      </x:c>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sheetData>
  <x:mergeCells>
    <x:mergeCell ref="A1:H2"/>
    <x:mergeCell ref="A3:H3"/>
  </x:mergeCells>
  <x:conditionalFormatting sqref="F7:F14">
    <x:cfRule type="containsText" dxfId="0" priority="1" operator="containsText" text="PASS"/>
    <x:cfRule type="containsText" dxfId="1" priority="2" operator="containsText" text="FAIL"/>
  </x:conditionalFormatting>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2" hidden="0" customWidth="1"/>
    <x:col min="2" max="2" width="28" hidden="0" customWidth="1"/>
    <x:col min="3" max="3" width="14" hidden="0" customWidth="1"/>
    <x:col min="4" max="4" width="16" hidden="0" customWidth="1"/>
    <x:col min="5" max="5" width="18" hidden="0" customWidth="1"/>
    <x:col min="6" max="6" width="34" hidden="0" customWidth="1"/>
    <x:col min="7" max="7" width="20" hidden="0" customWidth="1"/>
    <x:col min="8" max="8" width="42" hidden="0" customWidth="1"/>
    <x:col min="9" max="9" width="14" hidden="0" customWidth="1"/>
  </x:cols>
  <x:sheetData>
    <x:row r="1" ht="25" customHeight="1">
      <x:c r="A1" s="4" t="str">
        <x:v>SOURCES, DATA POLICY &amp; VERSION LOG</x:v>
      </x:c>
      <x:c r="B1" s="4"/>
      <x:c r="C1" s="4"/>
      <x:c r="D1" s="4"/>
      <x:c r="E1" s="4"/>
      <x:c r="F1" s="4"/>
      <x:c r="G1" s="4"/>
      <x:c r="H1" s="4"/>
      <x:c r="I1" s="4"/>
      <x:c r="J1" s="1"/>
      <x:c r="K1" s="1"/>
      <x:c r="L1" s="1"/>
      <x:c r="M1" s="1"/>
      <x:c r="N1" s="1"/>
      <x:c r="O1" s="1"/>
      <x:c r="P1" s="1"/>
      <x:c r="Q1" s="1"/>
      <x:c r="R1" s="1"/>
      <x:c r="S1" s="1"/>
      <x:c r="T1" s="1"/>
      <x:c r="U1" s="1"/>
      <x:c r="V1" s="1"/>
      <x:c r="W1" s="1"/>
      <x:c r="X1" s="1"/>
      <x:c r="Y1" s="1"/>
      <x:c r="Z1" s="1"/>
    </x:row>
    <x:row r="2" ht="25" customHeight="1">
      <x:c r="A2" s="4"/>
      <x:c r="B2" s="4"/>
      <x:c r="C2" s="4"/>
      <x:c r="D2" s="4"/>
      <x:c r="E2" s="4"/>
      <x:c r="F2" s="4"/>
      <x:c r="G2" s="4"/>
      <x:c r="H2" s="4"/>
      <x:c r="I2" s="4"/>
      <x:c r="J2" s="1"/>
      <x:c r="K2" s="1"/>
      <x:c r="L2" s="1"/>
      <x:c r="M2" s="1"/>
      <x:c r="N2" s="1"/>
      <x:c r="O2" s="1"/>
      <x:c r="P2" s="1"/>
      <x:c r="Q2" s="1"/>
      <x:c r="R2" s="1"/>
      <x:c r="S2" s="1"/>
      <x:c r="T2" s="1"/>
      <x:c r="U2" s="1"/>
      <x:c r="V2" s="1"/>
      <x:c r="W2" s="1"/>
      <x:c r="X2" s="1"/>
      <x:c r="Y2" s="1"/>
      <x:c r="Z2" s="1"/>
    </x:row>
    <x:row r="3" ht="25" customHeight="1">
      <x:c r="A3" s="7" t="str">
        <x:v>All data are synthetic and independently created for portfolio demonstration</x:v>
      </x:c>
      <x:c r="B3" s="7"/>
      <x:c r="C3" s="7"/>
      <x:c r="D3" s="7"/>
      <x:c r="E3" s="7"/>
      <x:c r="F3" s="7"/>
      <x:c r="G3" s="7"/>
      <x:c r="H3" s="7"/>
      <x:c r="I3" s="7"/>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155" t="str">
        <x:v>Item</x:v>
      </x:c>
      <x:c r="B5" s="155" t="str">
        <x:v>Value</x:v>
      </x:c>
      <x:c r="C5" s="155" t="str">
        <x:v>Units</x:v>
      </x:c>
      <x:c r="D5" s="155" t="str">
        <x:v>Period / as-of</x:v>
      </x:c>
      <x:c r="E5" s="155" t="str">
        <x:v>Source type</x:v>
      </x:c>
      <x:c r="F5" s="155" t="str">
        <x:v>Source name / URL</x:v>
      </x:c>
      <x:c r="G5" s="155" t="str">
        <x:v>Owner</x:v>
      </x:c>
      <x:c r="H5" s="155" t="str">
        <x:v>Notes</x:v>
      </x:c>
      <x:c r="I5" s="155" t="str">
        <x:v>Refreshed</x:v>
      </x:c>
      <x:c r="J5" s="1"/>
      <x:c r="K5" s="1"/>
      <x:c r="L5" s="1"/>
      <x:c r="M5" s="1"/>
      <x:c r="N5" s="1"/>
      <x:c r="O5" s="1"/>
      <x:c r="P5" s="1"/>
      <x:c r="Q5" s="1"/>
      <x:c r="R5" s="1"/>
      <x:c r="S5" s="1"/>
      <x:c r="T5" s="1"/>
      <x:c r="U5" s="1"/>
      <x:c r="V5" s="1"/>
      <x:c r="W5" s="1"/>
      <x:c r="X5" s="1"/>
      <x:c r="Y5" s="1"/>
      <x:c r="Z5" s="1"/>
    </x:row>
    <x:row r="6">
      <x:c r="A6" s="163" t="str">
        <x:v>Company</x:v>
      </x:c>
      <x:c r="B6" s="163" t="str">
        <x:v>Northstar Distribution</x:v>
      </x:c>
      <x:c r="C6" s="163" t="str">
        <x:v>Text</x:v>
      </x:c>
      <x:c r="D6" s="163" t="str">
        <x:v>2026-08-23</x:v>
      </x:c>
      <x:c r="E6" s="163" t="str">
        <x:v>Synthetic</x:v>
      </x:c>
      <x:c r="F6" s="163" t="str">
        <x:v>Portfolio-generated case</x:v>
      </x:c>
      <x:c r="G6" s="163" t="str">
        <x:v>Nguyen Tuan Khoi</x:v>
      </x:c>
      <x:c r="H6" s="163" t="str">
        <x:v>Fictional company; no employer or client data</x:v>
      </x:c>
      <x:c r="I6" s="163" t="str">
        <x:v>2026-08-23</x:v>
      </x:c>
      <x:c r="J6" s="1"/>
      <x:c r="K6" s="1"/>
      <x:c r="L6" s="1"/>
      <x:c r="M6" s="1"/>
      <x:c r="N6" s="1"/>
      <x:c r="O6" s="1"/>
      <x:c r="P6" s="1"/>
      <x:c r="Q6" s="1"/>
      <x:c r="R6" s="1"/>
      <x:c r="S6" s="1"/>
      <x:c r="T6" s="1"/>
      <x:c r="U6" s="1"/>
      <x:c r="V6" s="1"/>
      <x:c r="W6" s="1"/>
      <x:c r="X6" s="1"/>
      <x:c r="Y6" s="1"/>
      <x:c r="Z6" s="1"/>
    </x:row>
    <x:row r="7">
      <x:c r="A7" s="164" t="str">
        <x:v>Opening AR</x:v>
      </x:c>
      <x:c r="B7" s="344" t="n">
        <x:v>3250000</x:v>
      </x:c>
      <x:c r="C7" s="164" t="str">
        <x:v>USD</x:v>
      </x:c>
      <x:c r="D7" s="164" t="str">
        <x:v>2026-08-23</x:v>
      </x:c>
      <x:c r="E7" s="164" t="str">
        <x:v>Synthetic</x:v>
      </x:c>
      <x:c r="F7" s="164" t="str">
        <x:v>AR_Collections</x:v>
      </x:c>
      <x:c r="G7" s="164" t="str">
        <x:v>Finance</x:v>
      </x:c>
      <x:c r="H7" s="164" t="str">
        <x:v>Generated customer balances and due weeks</x:v>
      </x:c>
      <x:c r="I7" s="164" t="str">
        <x:v>2026-08-23</x:v>
      </x:c>
      <x:c r="J7" s="1"/>
      <x:c r="K7" s="1"/>
      <x:c r="L7" s="1"/>
      <x:c r="M7" s="1"/>
      <x:c r="N7" s="1"/>
      <x:c r="O7" s="1"/>
      <x:c r="P7" s="1"/>
      <x:c r="Q7" s="1"/>
      <x:c r="R7" s="1"/>
      <x:c r="S7" s="1"/>
      <x:c r="T7" s="1"/>
      <x:c r="U7" s="1"/>
      <x:c r="V7" s="1"/>
      <x:c r="W7" s="1"/>
      <x:c r="X7" s="1"/>
      <x:c r="Y7" s="1"/>
      <x:c r="Z7" s="1"/>
    </x:row>
    <x:row r="8">
      <x:c r="A8" s="164" t="str">
        <x:v>Opening AP</x:v>
      </x:c>
      <x:c r="B8" s="344" t="n">
        <x:v>2100000</x:v>
      </x:c>
      <x:c r="C8" s="164" t="str">
        <x:v>USD</x:v>
      </x:c>
      <x:c r="D8" s="164" t="str">
        <x:v>2026-08-23</x:v>
      </x:c>
      <x:c r="E8" s="164" t="str">
        <x:v>Synthetic</x:v>
      </x:c>
      <x:c r="F8" s="164" t="str">
        <x:v>AP_Payments</x:v>
      </x:c>
      <x:c r="G8" s="164" t="str">
        <x:v>Finance</x:v>
      </x:c>
      <x:c r="H8" s="164" t="str">
        <x:v>Generated vendor balances and criticality</x:v>
      </x:c>
      <x:c r="I8" s="164" t="str">
        <x:v>2026-08-23</x:v>
      </x:c>
      <x:c r="J8" s="1"/>
      <x:c r="K8" s="1"/>
      <x:c r="L8" s="1"/>
      <x:c r="M8" s="1"/>
      <x:c r="N8" s="1"/>
      <x:c r="O8" s="1"/>
      <x:c r="P8" s="1"/>
      <x:c r="Q8" s="1"/>
      <x:c r="R8" s="1"/>
      <x:c r="S8" s="1"/>
      <x:c r="T8" s="1"/>
      <x:c r="U8" s="1"/>
      <x:c r="V8" s="1"/>
      <x:c r="W8" s="1"/>
      <x:c r="X8" s="1"/>
      <x:c r="Y8" s="1"/>
      <x:c r="Z8" s="1"/>
    </x:row>
    <x:row r="9">
      <x:c r="A9" s="164" t="str">
        <x:v>Opening inventory</x:v>
      </x:c>
      <x:c r="B9" s="344" t="n">
        <x:v>1650000</x:v>
      </x:c>
      <x:c r="C9" s="164" t="str">
        <x:v>USD</x:v>
      </x:c>
      <x:c r="D9" s="164" t="str">
        <x:v>2026-08-23</x:v>
      </x:c>
      <x:c r="E9" s="164" t="str">
        <x:v>Synthetic</x:v>
      </x:c>
      <x:c r="F9" s="164" t="str">
        <x:v>Inventory</x:v>
      </x:c>
      <x:c r="G9" s="164" t="str">
        <x:v>Operations</x:v>
      </x:c>
      <x:c r="H9" s="164" t="str">
        <x:v>Generated category values and weekly demand</x:v>
      </x:c>
      <x:c r="I9" s="164" t="str">
        <x:v>2026-08-23</x:v>
      </x:c>
      <x:c r="J9" s="1"/>
      <x:c r="K9" s="1"/>
      <x:c r="L9" s="1"/>
      <x:c r="M9" s="1"/>
      <x:c r="N9" s="1"/>
      <x:c r="O9" s="1"/>
      <x:c r="P9" s="1"/>
      <x:c r="Q9" s="1"/>
      <x:c r="R9" s="1"/>
      <x:c r="S9" s="1"/>
      <x:c r="T9" s="1"/>
      <x:c r="U9" s="1"/>
      <x:c r="V9" s="1"/>
      <x:c r="W9" s="1"/>
      <x:c r="X9" s="1"/>
      <x:c r="Y9" s="1"/>
      <x:c r="Z9" s="1"/>
    </x:row>
    <x:row r="10">
      <x:c r="A10" s="164" t="str">
        <x:v>Forecast assumptions</x:v>
      </x:c>
      <x:c r="B10" s="164" t="str">
        <x:v>Base / Downside / Recovery</x:v>
      </x:c>
      <x:c r="C10" s="164" t="str">
        <x:v>Scenario</x:v>
      </x:c>
      <x:c r="D10" s="164" t="str">
        <x:v>13 weeks</x:v>
      </x:c>
      <x:c r="E10" s="164" t="str">
        <x:v>Synthetic assumption</x:v>
      </x:c>
      <x:c r="F10" s="164" t="str">
        <x:v>Scenarios</x:v>
      </x:c>
      <x:c r="G10" s="164" t="str">
        <x:v>FP&amp;A</x:v>
      </x:c>
      <x:c r="H10" s="164" t="str">
        <x:v>Illustrative, editable, and not a prediction</x:v>
      </x:c>
      <x:c r="I10" s="164" t="str">
        <x:v>2026-08-23</x:v>
      </x:c>
      <x:c r="J10" s="1"/>
      <x:c r="K10" s="1"/>
      <x:c r="L10" s="1"/>
      <x:c r="M10" s="1"/>
      <x:c r="N10" s="1"/>
      <x:c r="O10" s="1"/>
      <x:c r="P10" s="1"/>
      <x:c r="Q10" s="1"/>
      <x:c r="R10" s="1"/>
      <x:c r="S10" s="1"/>
      <x:c r="T10" s="1"/>
      <x:c r="U10" s="1"/>
      <x:c r="V10" s="1"/>
      <x:c r="W10" s="1"/>
      <x:c r="X10" s="1"/>
      <x:c r="Y10" s="1"/>
      <x:c r="Z10" s="1"/>
    </x:row>
    <x:row r="11">
      <x:c r="A11" s="164" t="str">
        <x:v>Model purpose</x:v>
      </x:c>
      <x:c r="B11" s="164" t="str">
        <x:v>Liquidity and working-capital decision support</x:v>
      </x:c>
      <x:c r="C11" s="164" t="str">
        <x:v>Text</x:v>
      </x:c>
      <x:c r="D11" s="164" t="str">
        <x:v>13 weeks</x:v>
      </x:c>
      <x:c r="E11" s="164" t="str">
        <x:v>Portfolio case</x:v>
      </x:c>
      <x:c r="F11" s="164" t="str">
        <x:v>Internal model design</x:v>
      </x:c>
      <x:c r="G11" s="164" t="str">
        <x:v>FP&amp;A</x:v>
      </x:c>
      <x:c r="H11" s="164" t="str">
        <x:v>Not a production treasury system</x:v>
      </x:c>
      <x:c r="I11" s="164" t="str">
        <x:v>2026-08-23</x:v>
      </x:c>
      <x:c r="J11" s="1"/>
      <x:c r="K11" s="1"/>
      <x:c r="L11" s="1"/>
      <x:c r="M11" s="1"/>
      <x:c r="N11" s="1"/>
      <x:c r="O11" s="1"/>
      <x:c r="P11" s="1"/>
      <x:c r="Q11" s="1"/>
      <x:c r="R11" s="1"/>
      <x:c r="S11" s="1"/>
      <x:c r="T11" s="1"/>
      <x:c r="U11" s="1"/>
      <x:c r="V11" s="1"/>
      <x:c r="W11" s="1"/>
      <x:c r="X11" s="1"/>
      <x:c r="Y11" s="1"/>
      <x:c r="Z11" s="1"/>
    </x:row>
    <x:row r="12">
      <x:c r="A12" s="164" t="str">
        <x:v>External data</x:v>
      </x:c>
      <x:c r="B12" s="164" t="str">
        <x:v>None</x:v>
      </x:c>
      <x:c r="C12" s="164" t="str">
        <x:v>Text</x:v>
      </x:c>
      <x:c r="D12" s="164" t="str">
        <x:v>N/A</x:v>
      </x:c>
      <x:c r="E12" s="164" t="str">
        <x:v>N/A</x:v>
      </x:c>
      <x:c r="F12" s="164" t="str">
        <x:v>N/A</x:v>
      </x:c>
      <x:c r="G12" s="164" t="str">
        <x:v>N/A</x:v>
      </x:c>
      <x:c r="H12" s="164" t="str">
        <x:v>No confidential, proprietary, or CFI course data</x:v>
      </x:c>
      <x:c r="I12" s="164" t="str">
        <x:v>2026-08-23</x:v>
      </x:c>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70" t="str">
        <x:v>VERSION LOG</x:v>
      </x:c>
      <x:c r="B15" s="70"/>
      <x:c r="C15" s="70"/>
      <x:c r="D15" s="70"/>
      <x:c r="E15" s="70"/>
      <x:c r="F15" s="70"/>
      <x:c r="G15" s="70"/>
      <x:c r="H15" s="70"/>
      <x:c r="I15" s="70"/>
      <x:c r="J15" s="1"/>
      <x:c r="K15" s="1"/>
      <x:c r="L15" s="1"/>
      <x:c r="M15" s="1"/>
      <x:c r="N15" s="1"/>
      <x:c r="O15" s="1"/>
      <x:c r="P15" s="1"/>
      <x:c r="Q15" s="1"/>
      <x:c r="R15" s="1"/>
      <x:c r="S15" s="1"/>
      <x:c r="T15" s="1"/>
      <x:c r="U15" s="1"/>
      <x:c r="V15" s="1"/>
      <x:c r="W15" s="1"/>
      <x:c r="X15" s="1"/>
      <x:c r="Y15" s="1"/>
      <x:c r="Z15" s="1"/>
    </x:row>
    <x:row r="16">
      <x:c r="A16" s="155" t="str">
        <x:v>Version</x:v>
      </x:c>
      <x:c r="B16" s="155" t="str">
        <x:v>Date</x:v>
      </x:c>
      <x:c r="C16" s="155" t="str">
        <x:v>Change</x:v>
      </x:c>
      <x:c r="D16" s="155" t="str">
        <x:v>Status</x:v>
      </x:c>
      <x:c r="E16" s="1"/>
      <x:c r="F16" s="1"/>
      <x:c r="G16" s="1"/>
      <x:c r="H16" s="1"/>
      <x:c r="I16" s="1"/>
      <x:c r="J16" s="1"/>
      <x:c r="K16" s="1"/>
      <x:c r="L16" s="1"/>
      <x:c r="M16" s="1"/>
      <x:c r="N16" s="1"/>
      <x:c r="O16" s="1"/>
      <x:c r="P16" s="1"/>
      <x:c r="Q16" s="1"/>
      <x:c r="R16" s="1"/>
      <x:c r="S16" s="1"/>
      <x:c r="T16" s="1"/>
      <x:c r="U16" s="1"/>
      <x:c r="V16" s="1"/>
      <x:c r="W16" s="1"/>
      <x:c r="X16" s="1"/>
      <x:c r="Y16" s="1"/>
      <x:c r="Z16" s="1"/>
    </x:row>
    <x:row r="17">
      <x:c r="A17" s="108" t="str">
        <x:v>1.0</x:v>
      </x:c>
      <x:c r="B17" s="108" t="str">
        <x:v>2026-08-23</x:v>
      </x:c>
      <x:c r="C17" s="108" t="str">
        <x:v>Initial 13-week cash and working-capital portfolio release</x:v>
      </x:c>
      <x:c r="D17" s="108" t="str">
        <x:v>Published</x:v>
      </x:c>
      <x:c r="E17" s="1"/>
      <x:c r="F17" s="1"/>
      <x:c r="G17" s="1"/>
      <x:c r="H17" s="1"/>
      <x:c r="I17" s="1"/>
      <x:c r="J17" s="1"/>
      <x:c r="K17" s="1"/>
      <x:c r="L17" s="1"/>
      <x:c r="M17" s="1"/>
      <x:c r="N17" s="1"/>
      <x:c r="O17" s="1"/>
      <x:c r="P17" s="1"/>
      <x:c r="Q17" s="1"/>
      <x:c r="R17" s="1"/>
      <x:c r="S17" s="1"/>
      <x:c r="T17" s="1"/>
      <x:c r="U17" s="1"/>
      <x:c r="V17" s="1"/>
      <x:c r="W17" s="1"/>
      <x:c r="X17" s="1"/>
      <x:c r="Y17" s="1"/>
      <x:c r="Z17" s="1"/>
    </x:row>
    <x:row r="18">
      <x:c r="A18" s="109" t="str">
        <x:v>Next</x:v>
      </x:c>
      <x:c r="B18" s="109" t="str">
        <x:v>TBD</x:v>
      </x:c>
      <x:c r="C18" s="109" t="str">
        <x:v>Replace synthetic assumptions only when a documented case is available</x:v>
      </x:c>
      <x:c r="D18" s="109" t="str">
        <x:v>Planned</x:v>
      </x:c>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sheetData>
  <x:mergeCells>
    <x:mergeCell ref="A1:I2"/>
    <x:mergeCell ref="A3:I3"/>
    <x:mergeCell ref="A15:I15"/>
  </x:mergeCells>
  <x:pageMargins left="0.7" right="0.7" top="0.75" bottom="0.75" header="0.3" footer="0.3"/>
</x:worksheet>
</file>