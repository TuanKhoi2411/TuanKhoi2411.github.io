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21a544de9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38a031aa1c847d8"/>
    <x:sheet xmlns:r="http://schemas.openxmlformats.org/officeDocument/2006/relationships" name="Investment_Summary" sheetId="2" r:id="R4fb621104b894a12"/>
    <x:sheet xmlns:r="http://schemas.openxmlformats.org/officeDocument/2006/relationships" name="Historical" sheetId="3" r:id="R96caa50ff2ba4e9b"/>
    <x:sheet xmlns:r="http://schemas.openxmlformats.org/officeDocument/2006/relationships" name="Assumptions" sheetId="4" r:id="R1996cb41482d4542"/>
    <x:sheet xmlns:r="http://schemas.openxmlformats.org/officeDocument/2006/relationships" name="Operating_Model" sheetId="5" r:id="Rbedc86e8559147a4"/>
    <x:sheet xmlns:r="http://schemas.openxmlformats.org/officeDocument/2006/relationships" name="DCF" sheetId="6" r:id="R5048b3643f68463a"/>
    <x:sheet xmlns:r="http://schemas.openxmlformats.org/officeDocument/2006/relationships" name="Sensitivity" sheetId="7" r:id="R356487f40d5249f6"/>
    <x:sheet xmlns:r="http://schemas.openxmlformats.org/officeDocument/2006/relationships" name="Checks" sheetId="8" r:id="R8adc87284cec4843"/>
    <x:sheet xmlns:r="http://schemas.openxmlformats.org/officeDocument/2006/relationships" name="Sources" sheetId="9" r:id="R21ce91726f26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"/>
    <x:numFmt numFmtId="202" formatCode="#,##0"/>
    <x:numFmt numFmtId="203" formatCode="#,##0.0"/>
    <x:numFmt numFmtId="204" formatCode="#,##0 &quot;VND&quot;"/>
  </x:numFmts>
  <x:fonts count="8">
    <x:font>
      <x:sz val="11"/>
      <x:name val="Carlito"/>
    </x:font>
    <x:font>
      <x:b/>
      <x:sz val="19"/>
      <x:color rgb="FFFFFFFF"/>
      <x:name val="Carlito"/>
    </x:font>
    <x:font>
      <x:sz val="13"/>
      <x:color rgb="FF0B1F33"/>
      <x:name val="Carlito"/>
    </x:font>
    <x:font>
      <x:b/>
      <x:sz val="11"/>
      <x:color rgb="FFFFFFFF"/>
      <x:name val="Carlito"/>
    </x:font>
    <x:font>
      <x:sz val="11"/>
      <x:color rgb="FF0B1F33"/>
      <x:name val="Carlito"/>
    </x:font>
    <x:font>
      <x:b/>
      <x:sz val="14"/>
      <x:color rgb="FF0B1F33"/>
      <x:name val="Carlito"/>
    </x:font>
    <x:font>
      <x:b/>
      <x:sz val="18"/>
      <x:color rgb="FF0B1F33"/>
      <x:name val="Carlito"/>
    </x:font>
    <x:font>
      <x:b/>
      <x:sz val="11"/>
      <x:color rgb="FF126A2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4F4"/>
      </x:patternFill>
    </x:fill>
    <x:fill>
      <x:patternFill patternType="solid">
        <x:fgColor rgb="FF176B87"/>
      </x:patternFill>
    </x:fill>
    <x:fill>
      <x:patternFill patternType="solid">
        <x:fgColor rgb="FFF8FAFC"/>
      </x:patternFill>
    </x:fill>
    <x:fill>
      <x:patternFill patternType="solid">
        <x:fgColor rgb="FFFFF8E1"/>
      </x:patternFill>
    </x:fill>
    <x:fill>
      <x:patternFill patternType="solid">
        <x:fgColor rgb="FFFFF2CC"/>
      </x:patternFill>
    </x:fill>
    <x:fill>
      <x:patternFill patternType="solid">
        <x:fgColor rgb="FFF7FBFC"/>
      </x:patternFill>
    </x:fill>
    <x:fill>
      <x:patternFill patternType="solid">
        <x:fgColor rgb="FF64CCC5"/>
      </x:patternFill>
    </x:fill>
    <x:fill>
      <x:patternFill patternType="solid">
        <x:fgColor rgb="FFDDF3E4"/>
      </x:patternFill>
    </x:fill>
  </x:fills>
  <x:borders count="18">
    <x:border/>
    <x:border>
      <x:right style="thin">
        <x:color rgb="FFCBD5DE"/>
      </x:right>
      <x:bottom style="thin">
        <x:color rgb="FFCBD5DE"/>
      </x:bottom>
    </x:border>
    <x:border>
      <x:left style="thin">
        <x:color rgb="FFCBD5DE"/>
      </x:left>
      <x:right style="thin">
        <x:color rgb="FFCBD5DE"/>
      </x:right>
      <x:bottom style="thin">
        <x:color rgb="FFCBD5DE"/>
      </x:bottom>
    </x:border>
    <x:border>
      <x:left style="thin">
        <x:color rgb="FFCBD5DE"/>
      </x:left>
      <x:bottom style="thin">
        <x:color rgb="FFCBD5DE"/>
      </x:bottom>
    </x:border>
    <x:border>
      <x:right style="thin">
        <x:color rgb="FFCBD5DE"/>
      </x:right>
      <x:top style="thin">
        <x:color rgb="FFCBD5DE"/>
      </x:top>
      <x:bottom style="thin">
        <x:color rgb="FFCBD5DE"/>
      </x:bottom>
    </x:border>
    <x:border>
      <x:left style="thin">
        <x:color rgb="FFCBD5DE"/>
      </x:left>
      <x:right style="thin">
        <x:color rgb="FFCBD5DE"/>
      </x:right>
      <x:top style="thin">
        <x:color rgb="FFCBD5DE"/>
      </x:top>
      <x:bottom style="thin">
        <x:color rgb="FFCBD5DE"/>
      </x:bottom>
    </x:border>
    <x:border>
      <x:left style="thin">
        <x:color rgb="FFCBD5DE"/>
      </x:left>
      <x:top style="thin">
        <x:color rgb="FFCBD5DE"/>
      </x:top>
      <x:bottom style="thin">
        <x:color rgb="FFCBD5DE"/>
      </x:bottom>
    </x:border>
    <x:border>
      <x:right style="thin">
        <x:color rgb="FFCBD5DE"/>
      </x:right>
      <x:top style="thin">
        <x:color rgb="FFCBD5DE"/>
      </x:top>
    </x:border>
    <x:border>
      <x:left style="thin">
        <x:color rgb="FFCBD5DE"/>
      </x:left>
      <x:right style="thin">
        <x:color rgb="FFCBD5DE"/>
      </x:right>
      <x:top style="thin">
        <x:color rgb="FFCBD5DE"/>
      </x:top>
    </x:border>
    <x:border>
      <x:left style="thin">
        <x:color rgb="FFCBD5DE"/>
      </x:left>
      <x:top style="thin">
        <x:color rgb="FFCBD5DE"/>
      </x:top>
    </x:border>
    <x:border>
      <x:left style="thin">
        <x:color rgb="FFB7C4CF"/>
      </x:left>
      <x:top style="thin">
        <x:color rgb="FFB7C4CF"/>
      </x:top>
    </x:border>
    <x:border>
      <x:top style="thin">
        <x:color rgb="FFB7C4CF"/>
      </x:top>
    </x:border>
    <x:border>
      <x:right style="thin">
        <x:color rgb="FFB7C4CF"/>
      </x:right>
      <x:top style="thin">
        <x:color rgb="FFB7C4CF"/>
      </x:top>
    </x:border>
    <x:border>
      <x:left style="thin">
        <x:color rgb="FFB7C4CF"/>
      </x:left>
    </x:border>
    <x:border>
      <x:right style="thin">
        <x:color rgb="FFB7C4CF"/>
      </x:right>
    </x:border>
    <x:border>
      <x:left style="thin">
        <x:color rgb="FFB7C4CF"/>
      </x:left>
      <x:bottom style="thin">
        <x:color rgb="FFB7C4CF"/>
      </x:bottom>
    </x:border>
    <x:border>
      <x:bottom style="thin">
        <x:color rgb="FFB7C4CF"/>
      </x:bottom>
    </x:border>
    <x:border>
      <x:right style="thin">
        <x:color rgb="FFB7C4CF"/>
      </x:right>
      <x:bottom style="thin">
        <x:color rgb="FFB7C4CF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7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5" xfId="0" applyNumberFormat="1" applyFont="1" applyFill="1" applyBorder="1"/>
    <x:xf numFmtId="201" fontId="0" fillId="7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7" borderId="8" xfId="0" applyNumberFormat="1" applyFont="1" applyFill="1" applyBorder="1"/>
    <x:xf numFmtId="0" fontId="0" fillId="0" borderId="9" xfId="0" applyNumberFormat="1" applyFont="1" applyFill="1" applyBorder="1"/>
    <x:xf numFmtId="203" fontId="0" fillId="7" borderId="0" xfId="0" applyNumberFormat="1" applyFont="1" applyFill="1" applyBorder="1"/>
    <x:xf numFmtId="201" fontId="0" fillId="7" borderId="6" xfId="0" applyNumberFormat="1" applyFont="1" applyFill="1" applyBorder="1"/>
    <x:xf numFmtId="203" fontId="0" fillId="7" borderId="6" xfId="0" applyNumberFormat="1" applyFont="1" applyFill="1" applyBorder="1"/>
    <x:xf numFmtId="0" fontId="3" fillId="8" borderId="0" xfId="0" applyNumberFormat="1" applyFont="1" applyFill="1" applyBorder="1" applyAlignment="1">
      <x:alignment horizontal="center" vertical="center" wrapText="1"/>
    </x:xf>
    <x:xf numFmtId="20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200" fontId="0" fillId="8" borderId="5" xfId="0" applyNumberFormat="1" applyFont="1" applyFill="1" applyBorder="1"/>
    <x:xf numFmtId="200" fontId="0" fillId="8" borderId="6" xfId="0" applyNumberFormat="1" applyFont="1" applyFill="1" applyBorder="1"/>
    <x:xf numFmtId="201" fontId="0" fillId="8" borderId="5" xfId="0" applyNumberFormat="1" applyFont="1" applyFill="1" applyBorder="1"/>
    <x:xf numFmtId="201" fontId="0" fillId="8" borderId="6" xfId="0" applyNumberFormat="1" applyFont="1" applyFill="1" applyBorder="1"/>
    <x:xf numFmtId="201" fontId="0" fillId="8" borderId="8" xfId="0" applyNumberFormat="1" applyFont="1" applyFill="1" applyBorder="1"/>
    <x:xf numFmtId="201" fontId="0" fillId="8" borderId="9" xfId="0" applyNumberFormat="1" applyFont="1" applyFill="1" applyBorder="1"/>
    <x:xf numFmtId="203" fontId="0" fillId="0" borderId="0" xfId="0" applyNumberFormat="1" applyFont="1" applyFill="1" applyBorder="1"/>
    <x:xf numFmtId="0" fontId="0" fillId="9" borderId="0" xfId="0" applyNumberFormat="1" applyFont="1" applyFill="1" applyBorder="1"/>
    <x:xf numFmtId="202" fontId="0" fillId="9" borderId="0" xfId="0" applyNumberFormat="1" applyFont="1" applyFill="1" applyBorder="1"/>
    <x:xf numFmtId="0" fontId="5" fillId="9" borderId="0" xfId="0" applyNumberFormat="1" applyFont="1" applyFill="1" applyBorder="1"/>
    <x:xf numFmtId="202" fontId="5" fillId="9" borderId="0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203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5" fillId="9" borderId="7" xfId="0" applyNumberFormat="1" applyFont="1" applyFill="1" applyBorder="1"/>
    <x:xf numFmtId="202" fontId="5" fillId="9" borderId="9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2" xfId="0" applyNumberFormat="1" applyFont="1" applyFill="1" applyBorder="1" applyAlignment="1">
      <x:alignment horizontal="center" vertical="center" wrapText="1"/>
    </x:xf>
    <x:xf numFmtId="201" fontId="3" fillId="4" borderId="3" xfId="0" applyNumberFormat="1" applyFont="1" applyFill="1" applyBorder="1" applyAlignment="1">
      <x:alignment horizontal="center" vertical="center" wrapText="1"/>
    </x:xf>
    <x:xf numFmtId="201" fontId="0" fillId="0" borderId="4" xfId="0" applyNumberFormat="1" applyFont="1" applyFill="1" applyBorder="1"/>
    <x:xf numFmtId="201" fontId="0" fillId="0" borderId="7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/>
    <x:xf numFmtId="0" fontId="6" fillId="3" borderId="16" xfId="0" applyNumberFormat="1" applyFont="1" applyFill="1" applyBorder="1"/>
    <x:xf numFmtId="0" fontId="6" fillId="3" borderId="17" xfId="0" applyNumberFormat="1" applyFont="1" applyFill="1" applyBorder="1"/>
    <x:xf numFmtId="0" fontId="6" fillId="3" borderId="10" xfId="0" applyNumberFormat="1" applyFont="1" applyFill="1" applyBorder="1" applyAlignment="1">
      <x:alignment horizontal="center"/>
    </x:xf>
    <x:xf numFmtId="0" fontId="6" fillId="3" borderId="11" xfId="0" applyNumberFormat="1" applyFont="1" applyFill="1" applyBorder="1" applyAlignment="1">
      <x:alignment horizontal="center"/>
    </x:xf>
    <x:xf numFmtId="0" fontId="6" fillId="3" borderId="12" xfId="0" applyNumberFormat="1" applyFont="1" applyFill="1" applyBorder="1" applyAlignment="1">
      <x:alignment horizontal="center"/>
    </x:xf>
    <x:xf numFmtId="0" fontId="6" fillId="3" borderId="13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6" fillId="3" borderId="14" xfId="0" applyNumberFormat="1" applyFont="1" applyFill="1" applyBorder="1" applyAlignment="1">
      <x:alignment horizontal="center"/>
    </x:xf>
    <x:xf numFmtId="0" fontId="6" fillId="3" borderId="15" xfId="0" applyNumberFormat="1" applyFont="1" applyFill="1" applyBorder="1" applyAlignment="1">
      <x:alignment horizontal="center"/>
    </x:xf>
    <x:xf numFmtId="0" fontId="6" fillId="3" borderId="16" xfId="0" applyNumberFormat="1" applyFont="1" applyFill="1" applyBorder="1" applyAlignment="1">
      <x:alignment horizontal="center"/>
    </x:xf>
    <x:xf numFmtId="0" fontId="6" fillId="3" borderId="17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11" xfId="0" applyNumberFormat="1" applyFont="1" applyFill="1" applyBorder="1" applyAlignment="1">
      <x:alignment horizontal="center" vertic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3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4" xfId="0" applyNumberFormat="1" applyFont="1" applyFill="1" applyBorder="1" applyAlignment="1">
      <x:alignment horizontal="center" vertical="center"/>
    </x:xf>
    <x:xf numFmtId="0" fontId="6" fillId="3" borderId="15" xfId="0" applyNumberFormat="1" applyFont="1" applyFill="1" applyBorder="1" applyAlignment="1">
      <x:alignment horizontal="center" vertical="center"/>
    </x:xf>
    <x:xf numFmtId="0" fontId="6" fillId="3" borderId="16" xfId="0" applyNumberFormat="1" applyFont="1" applyFill="1" applyBorder="1" applyAlignment="1">
      <x:alignment horizontal="center" vertical="center"/>
    </x:xf>
    <x:xf numFmtId="0" fontId="6" fillId="3" borderId="17" xfId="0" applyNumberFormat="1" applyFont="1" applyFill="1" applyBorder="1" applyAlignment="1">
      <x:alignment horizontal="center" vertical="center"/>
    </x:xf>
    <x:xf numFmtId="201" fontId="6" fillId="3" borderId="10" xfId="0" applyNumberFormat="1" applyFont="1" applyFill="1" applyBorder="1" applyAlignment="1">
      <x:alignment horizontal="center" vertical="center"/>
    </x:xf>
    <x:xf numFmtId="201" fontId="6" fillId="3" borderId="11" xfId="0" applyNumberFormat="1" applyFont="1" applyFill="1" applyBorder="1" applyAlignment="1">
      <x:alignment horizontal="center" vertical="center"/>
    </x:xf>
    <x:xf numFmtId="201" fontId="6" fillId="3" borderId="12" xfId="0" applyNumberFormat="1" applyFont="1" applyFill="1" applyBorder="1" applyAlignment="1">
      <x:alignment horizontal="center" vertical="center"/>
    </x:xf>
    <x:xf numFmtId="201" fontId="6" fillId="3" borderId="13" xfId="0" applyNumberFormat="1" applyFont="1" applyFill="1" applyBorder="1" applyAlignment="1">
      <x:alignment horizontal="center" vertical="center"/>
    </x:xf>
    <x:xf numFmtId="201" fontId="6" fillId="3" borderId="0" xfId="0" applyNumberFormat="1" applyFont="1" applyFill="1" applyBorder="1" applyAlignment="1">
      <x:alignment horizontal="center" vertical="center"/>
    </x:xf>
    <x:xf numFmtId="201" fontId="6" fillId="3" borderId="14" xfId="0" applyNumberFormat="1" applyFont="1" applyFill="1" applyBorder="1" applyAlignment="1">
      <x:alignment horizontal="center" vertical="center"/>
    </x:xf>
    <x:xf numFmtId="201" fontId="6" fillId="3" borderId="15" xfId="0" applyNumberFormat="1" applyFont="1" applyFill="1" applyBorder="1" applyAlignment="1">
      <x:alignment horizontal="center" vertical="center"/>
    </x:xf>
    <x:xf numFmtId="201" fontId="6" fillId="3" borderId="16" xfId="0" applyNumberFormat="1" applyFont="1" applyFill="1" applyBorder="1" applyAlignment="1">
      <x:alignment horizontal="center" vertical="center"/>
    </x:xf>
    <x:xf numFmtId="201" fontId="6" fillId="3" borderId="17" xfId="0" applyNumberFormat="1" applyFont="1" applyFill="1" applyBorder="1" applyAlignment="1">
      <x:alignment horizontal="center" vertical="center"/>
    </x:xf>
    <x:xf numFmtId="202" fontId="6" fillId="3" borderId="10" xfId="0" applyNumberFormat="1" applyFont="1" applyFill="1" applyBorder="1" applyAlignment="1">
      <x:alignment horizontal="center" vertical="center"/>
    </x:xf>
    <x:xf numFmtId="202" fontId="6" fillId="3" borderId="11" xfId="0" applyNumberFormat="1" applyFont="1" applyFill="1" applyBorder="1" applyAlignment="1">
      <x:alignment horizontal="center" vertical="center"/>
    </x:xf>
    <x:xf numFmtId="202" fontId="6" fillId="3" borderId="12" xfId="0" applyNumberFormat="1" applyFont="1" applyFill="1" applyBorder="1" applyAlignment="1">
      <x:alignment horizontal="center" vertical="center"/>
    </x:xf>
    <x:xf numFmtId="202" fontId="6" fillId="3" borderId="13" xfId="0" applyNumberFormat="1" applyFont="1" applyFill="1" applyBorder="1" applyAlignment="1">
      <x:alignment horizontal="center" vertical="center"/>
    </x:xf>
    <x:xf numFmtId="202" fontId="6" fillId="3" borderId="0" xfId="0" applyNumberFormat="1" applyFont="1" applyFill="1" applyBorder="1" applyAlignment="1">
      <x:alignment horizontal="center" vertical="center"/>
    </x:xf>
    <x:xf numFmtId="202" fontId="6" fillId="3" borderId="14" xfId="0" applyNumberFormat="1" applyFont="1" applyFill="1" applyBorder="1" applyAlignment="1">
      <x:alignment horizontal="center" vertical="center"/>
    </x:xf>
    <x:xf numFmtId="202" fontId="6" fillId="3" borderId="15" xfId="0" applyNumberFormat="1" applyFont="1" applyFill="1" applyBorder="1" applyAlignment="1">
      <x:alignment horizontal="center" vertical="center"/>
    </x:xf>
    <x:xf numFmtId="202" fontId="6" fillId="3" borderId="16" xfId="0" applyNumberFormat="1" applyFont="1" applyFill="1" applyBorder="1" applyAlignment="1">
      <x:alignment horizontal="center" vertical="center"/>
    </x:xf>
    <x:xf numFmtId="202" fontId="6" fillId="3" borderId="17" xfId="0" applyNumberFormat="1" applyFont="1" applyFill="1" applyBorder="1" applyAlignment="1">
      <x:alignment horizontal="center" vertical="center"/>
    </x:xf>
    <x:xf numFmtId="204" fontId="6" fillId="3" borderId="10" xfId="0" applyNumberFormat="1" applyFont="1" applyFill="1" applyBorder="1" applyAlignment="1">
      <x:alignment horizontal="center" vertical="center"/>
    </x:xf>
    <x:xf numFmtId="204" fontId="6" fillId="3" borderId="11" xfId="0" applyNumberFormat="1" applyFont="1" applyFill="1" applyBorder="1" applyAlignment="1">
      <x:alignment horizontal="center" vertical="center"/>
    </x:xf>
    <x:xf numFmtId="204" fontId="6" fillId="3" borderId="12" xfId="0" applyNumberFormat="1" applyFont="1" applyFill="1" applyBorder="1" applyAlignment="1">
      <x:alignment horizontal="center" vertical="center"/>
    </x:xf>
    <x:xf numFmtId="204" fontId="6" fillId="3" borderId="13" xfId="0" applyNumberFormat="1" applyFont="1" applyFill="1" applyBorder="1" applyAlignment="1">
      <x:alignment horizontal="center" vertical="center"/>
    </x:xf>
    <x:xf numFmtId="204" fontId="6" fillId="3" borderId="0" xfId="0" applyNumberFormat="1" applyFont="1" applyFill="1" applyBorder="1" applyAlignment="1">
      <x:alignment horizontal="center" vertical="center"/>
    </x:xf>
    <x:xf numFmtId="204" fontId="6" fillId="3" borderId="14" xfId="0" applyNumberFormat="1" applyFont="1" applyFill="1" applyBorder="1" applyAlignment="1">
      <x:alignment horizontal="center" vertical="center"/>
    </x:xf>
    <x:xf numFmtId="204" fontId="6" fillId="3" borderId="15" xfId="0" applyNumberFormat="1" applyFont="1" applyFill="1" applyBorder="1" applyAlignment="1">
      <x:alignment horizontal="center" vertical="center"/>
    </x:xf>
    <x:xf numFmtId="204" fontId="6" fillId="3" borderId="16" xfId="0" applyNumberFormat="1" applyFont="1" applyFill="1" applyBorder="1" applyAlignment="1">
      <x:alignment horizontal="center" vertical="center"/>
    </x:xf>
    <x:xf numFmtId="204" fontId="6" fillId="3" borderId="17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26A2E"/>
      </x:font>
      <x:fill>
        <x:patternFill>
          <x:bgColor rgb="FFDDF3E4"/>
        </x:patternFill>
      </x:fill>
    </x:dxf>
    <x:dxf>
      <x:font>
        <x:b/>
        <x:color rgb="FF9B1C1C"/>
      </x:font>
      <x:fill>
        <x:patternFill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acea0fead4fb4" /><Relationship Type="http://schemas.openxmlformats.org/officeDocument/2006/relationships/theme" Target="/xl/theme/theme1.xml" Id="R39139054a5c84128" /><Relationship Type="http://schemas.openxmlformats.org/officeDocument/2006/relationships/sharedStrings" Target="/xl/sharedStrings.xml" Id="Ra50b2d424ff74f61" /><Relationship Type="http://schemas.openxmlformats.org/officeDocument/2006/relationships/worksheet" Target="/xl/worksheets/sheet1.xml" Id="R038a031aa1c847d8" /><Relationship Type="http://schemas.openxmlformats.org/officeDocument/2006/relationships/worksheet" Target="/xl/worksheets/sheet2.xml" Id="R4fb621104b894a12" /><Relationship Type="http://schemas.openxmlformats.org/officeDocument/2006/relationships/worksheet" Target="/xl/worksheets/sheet3.xml" Id="R96caa50ff2ba4e9b" /><Relationship Type="http://schemas.openxmlformats.org/officeDocument/2006/relationships/worksheet" Target="/xl/worksheets/sheet4.xml" Id="R1996cb41482d4542" /><Relationship Type="http://schemas.openxmlformats.org/officeDocument/2006/relationships/worksheet" Target="/xl/worksheets/sheet5.xml" Id="Rbedc86e8559147a4" /><Relationship Type="http://schemas.openxmlformats.org/officeDocument/2006/relationships/worksheet" Target="/xl/worksheets/sheet6.xml" Id="R5048b3643f68463a" /><Relationship Type="http://schemas.openxmlformats.org/officeDocument/2006/relationships/worksheet" Target="/xl/worksheets/sheet7.xml" Id="R356487f40d5249f6" /><Relationship Type="http://schemas.openxmlformats.org/officeDocument/2006/relationships/worksheet" Target="/xl/worksheets/sheet8.xml" Id="R8adc87284cec4843" /><Relationship Type="http://schemas.openxmlformats.org/officeDocument/2006/relationships/worksheet" Target="/xl/worksheets/sheet9.xml" Id="R21ce91726f2642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9f345ac1e248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EBITDA trajectory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2021A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'Operating_Model'!$B$5:$B$7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2022A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'Operating_Model'!$C$5:$C$7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2023A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'Operating_Model'!$D$5:$D$7</c:f>
              <c:numCache>
                <c:formatCode>#,##0;[Red](#,##0);-</c:formatCode>
                <c:ptCount val="0"/>
              </c:numCache>
            </c:numRef>
          </c:val>
        </c:ser>
        <c:ser>
          <c:idx val="3"/>
          <c:order val="3"/>
          <c:tx>
            <c:v>2024A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'Operating_Model'!$E$5:$E$7</c:f>
              <c:numCache>
                <c:formatCode>#,##0;[Red](#,##0);-</c:formatCode>
                <c:ptCount val="0"/>
              </c:numCache>
            </c:numRef>
          </c:val>
        </c:ser>
        <c:ser>
          <c:idx val="4"/>
          <c:order val="4"/>
          <c:tx>
            <c:v>2025A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'Operating_Model'!$F$5:$F$7</c:f>
              <c:numCache>
                <c:formatCode>#,##0;[Red](#,##0);-</c:formatCode>
                <c:ptCount val="0"/>
              </c:numCache>
            </c:numRef>
          </c:val>
        </c:ser>
        <c:ser>
          <c:idx val="5"/>
          <c:order val="5"/>
          <c:tx>
            <c:v>2026E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'Operating_Model'!$G$5:$G$7</c:f>
              <c:numCache>
                <c:formatCode>#,##0;[Red](#,##0);-</c:formatCode>
                <c:ptCount val="0"/>
              </c:numCache>
            </c:numRef>
          </c:val>
        </c:ser>
        <c:ser>
          <c:idx val="6"/>
          <c:order val="6"/>
          <c:tx>
            <c:v>2027E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'Operating_Model'!$H$5:$H$7</c:f>
              <c:numCache>
                <c:formatCode>#,##0;[Red](#,##0);-</c:formatCode>
                <c:ptCount val="0"/>
              </c:numCache>
            </c:numRef>
          </c:val>
        </c:ser>
        <c:ser>
          <c:idx val="7"/>
          <c:order val="7"/>
          <c:tx>
            <c:v>2028E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'Operating_Model'!$I$5:$I$7</c:f>
              <c:numCache>
                <c:formatCode>#,##0;[Red](#,##0);-</c:formatCode>
                <c:ptCount val="0"/>
              </c:numCache>
            </c:numRef>
          </c:val>
        </c:ser>
        <c:ser>
          <c:idx val="8"/>
          <c:order val="8"/>
          <c:tx>
            <c:v>2029E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'Operating_Model'!$J$5:$J$7</c:f>
              <c:numCache>
                <c:formatCode>#,##0;[Red](#,##0);-</c:formatCode>
                <c:ptCount val="0"/>
              </c:numCache>
            </c:numRef>
          </c:val>
        </c:ser>
        <c:ser>
          <c:idx val="9"/>
          <c:order val="9"/>
          <c:tx>
            <c:v>2030E</c:v>
          </c:tx>
          <c:marker>
            <c:symbol val="none"/>
          </c:marker>
          <c:cat>
            <c:strRef>
              <c:f>'Operating_Model'!$A$5:$A$7</c:f>
              <c:strCache>
                <c:ptCount val="0"/>
              </c:strCache>
            </c:strRef>
          </c:cat>
          <c:val>
            <c:numRef>
              <c:f>'Operating_Model'!$K$5:$K$7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11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9f345ac1e248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56c832ab31849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3" t="str">
        <x:v>FPT CORPORATION — FMVA VALUATION CASE STUDY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>
      <x:c r="A4" s="7" t="str">
        <x:v>A formula-driven public-company model: historical analysis, operating forecast, DCF valuation, sensitivity and audit checks.</x:v>
      </x:c>
      <x:c r="B4" s="7"/>
      <x:c r="C4" s="7"/>
      <x:c r="D4" s="7"/>
      <x:c r="E4" s="7"/>
      <x:c r="F4" s="7"/>
      <x:c r="G4" s="7"/>
      <x:c r="H4" s="7"/>
      <x:c r="I4" s="7"/>
      <x:c r="J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7">
      <x:c r="A7" s="9" t="str">
        <x:v>Analyst</x:v>
      </x:c>
      <x:c r="B7" s="11" t="str">
        <x:v>Nguyen Tuan Khoi</x:v>
      </x:c>
    </x:row>
    <x:row r="8">
      <x:c r="A8" s="9" t="str">
        <x:v>Company</x:v>
      </x:c>
      <x:c r="B8" s="11" t="str">
        <x:v>FPT Corporation (HOSE: FPT)</x:v>
      </x:c>
    </x:row>
    <x:row r="9">
      <x:c r="A9" s="9" t="str">
        <x:v>Currency</x:v>
      </x:c>
      <x:c r="B9" s="11" t="str">
        <x:v>VND billion, except per-share data</x:v>
      </x:c>
    </x:row>
    <x:row r="10">
      <x:c r="A10" s="9" t="str">
        <x:v>Historical period</x:v>
      </x:c>
      <x:c r="B10" s="11" t="str">
        <x:v>2021A–2025A</x:v>
      </x:c>
    </x:row>
    <x:row r="11">
      <x:c r="A11" s="9" t="str">
        <x:v>Forecast period</x:v>
      </x:c>
      <x:c r="B11" s="11" t="str">
        <x:v>2026E–2030E</x:v>
      </x:c>
    </x:row>
    <x:row r="12">
      <x:c r="A12" s="9" t="str">
        <x:v>Valuation date</x:v>
      </x:c>
      <x:c r="B12" s="11" t="str">
        <x:v>FY2025 year-end basis</x:v>
      </x:c>
    </x:row>
    <x:row r="13">
      <x:c r="A13" s="9" t="str">
        <x:v>Primary method</x:v>
      </x:c>
      <x:c r="B13" s="11" t="str">
        <x:v>Unlevered DCF</x:v>
      </x:c>
    </x:row>
    <x:row r="14">
      <x:c r="A14" s="9" t="str">
        <x:v>Data policy</x:v>
      </x:c>
      <x:c r="B14" s="11" t="str">
        <x:v>Public official FPT sources</x:v>
      </x:c>
    </x:row>
    <x:row r="15">
      <x:c r="A15" s="9" t="str">
        <x:v>Model purpose</x:v>
      </x:c>
      <x:c r="B15" s="11" t="str">
        <x:v>Educational portfolio / not investment advice</x:v>
      </x:c>
    </x:row>
    <x:row r="17">
      <x:c r="A17" s="15" t="str">
        <x:v>Important comparability note: from 2026 FPT Telecom is accounted for under the equity method. This case intentionally applies an independent, like-for-like forecast to the FY2025 consolidated base. It should not be compared mechanically with FPT's 2026 guidance without restating the historical base.</x:v>
      </x:c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</x:sheetData>
  <x:mergeCells>
    <x:mergeCell ref="A1:J2"/>
    <x:mergeCell ref="A4:J5"/>
    <x:mergeCell ref="A17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3" t="str">
        <x:v>INVESTMENT SUMMARY — BASE CASE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>
      <x:c r="A4" s="18" t="str">
        <x:v>Revenue CAGR</x:v>
      </x:c>
      <x:c r="B4" s="18"/>
      <x:c r="C4" s="18"/>
      <x:c r="D4" s="18" t="str">
        <x:v>2030 EBITDA margin</x:v>
      </x:c>
      <x:c r="E4" s="18"/>
      <x:c r="F4" s="18"/>
      <x:c r="G4" s="18" t="str">
        <x:v>Enterprise value</x:v>
      </x:c>
      <x:c r="H4" s="18"/>
      <x:c r="I4" s="18"/>
      <x:c r="J4" s="18" t="str">
        <x:v>Intrinsic value / share</x:v>
      </x:c>
      <x:c r="K4" s="18"/>
      <x:c r="L4" s="18"/>
    </x:row>
    <x:row r="5">
      <x:c r="A5" s="104" t="n">
        <x:f>('Operating_Model'!K5/'Operating_Model'!F5)^(1/5)-1</x:f>
        <x:v>0.11991070574276219</x:v>
      </x:c>
      <x:c r="B5" s="105"/>
      <x:c r="C5" s="106"/>
      <x:c r="D5" s="104" t="n">
        <x:f>'Operating_Model'!K8</x:f>
        <x:v>0.235</x:v>
      </x:c>
      <x:c r="E5" s="105"/>
      <x:c r="F5" s="106"/>
      <x:c r="G5" s="113" t="n">
        <x:f>'DCF'!B17</x:f>
        <x:v>209364.4698614369</x:v>
      </x:c>
      <x:c r="H5" s="114"/>
      <x:c r="I5" s="115"/>
      <x:c r="J5" s="122" t="n">
        <x:f>'DCF'!B21</x:f>
        <x:v>122038.64804530564</x:v>
      </x:c>
      <x:c r="K5" s="123"/>
      <x:c r="L5" s="124"/>
    </x:row>
    <x:row r="6">
      <x:c r="A6" s="107"/>
      <x:c r="B6" s="108"/>
      <x:c r="C6" s="109"/>
      <x:c r="D6" s="107"/>
      <x:c r="E6" s="108"/>
      <x:c r="F6" s="109"/>
      <x:c r="G6" s="116"/>
      <x:c r="H6" s="117"/>
      <x:c r="I6" s="118"/>
      <x:c r="J6" s="125"/>
      <x:c r="K6" s="126"/>
      <x:c r="L6" s="127"/>
    </x:row>
    <x:row r="7">
      <x:c r="A7" s="110"/>
      <x:c r="B7" s="111"/>
      <x:c r="C7" s="112"/>
      <x:c r="D7" s="110"/>
      <x:c r="E7" s="111"/>
      <x:c r="F7" s="112"/>
      <x:c r="G7" s="119"/>
      <x:c r="H7" s="120"/>
      <x:c r="I7" s="121"/>
      <x:c r="J7" s="128"/>
      <x:c r="K7" s="129"/>
      <x:c r="L7" s="130"/>
    </x:row>
    <x:row r="10">
      <x:c r="A10" s="20" t="str">
        <x:v>Investment thesis</x:v>
      </x:c>
      <x:c r="B10" s="21" t="str">
        <x:v>Evidence</x:v>
      </x:c>
      <x:c r="C10" s="21" t="str">
        <x:v>Model implication</x:v>
      </x:c>
      <x:c r="D10" s="21" t="str">
        <x:v>Key risk</x:v>
      </x:c>
      <x:c r="E10" s="21" t="str">
        <x:v>Monitoring KPI</x:v>
      </x:c>
      <x:c r="F10" s="22" t="str">
        <x:v>Status</x:v>
      </x:c>
    </x:row>
    <x:row r="11">
      <x:c r="A11" s="131" t="str">
        <x:v>Durable digital transformation exposure</x:v>
      </x:c>
      <x:c r="B11" s="132" t="str">
        <x:v>2025 revenue reached VND 70,113bn</x:v>
      </x:c>
      <x:c r="C11" s="132" t="str">
        <x:v>Double-digit revenue growth through 2030</x:v>
      </x:c>
      <x:c r="D11" s="132" t="str">
        <x:v>Global IT demand slowdown</x:v>
      </x:c>
      <x:c r="E11" s="132" t="str">
        <x:v>Signed revenue / global IT growth</x:v>
      </x:c>
      <x:c r="F11" s="133" t="str">
        <x:v>Base case</x:v>
      </x:c>
    </x:row>
    <x:row r="12">
      <x:c r="A12" s="131" t="str">
        <x:v>Operating scale</x:v>
      </x:c>
      <x:c r="B12" s="132" t="str">
        <x:v>2025 EBITDA margin ~22.8%</x:v>
      </x:c>
      <x:c r="C12" s="132" t="str">
        <x:v>Modest expansion to 23.5%</x:v>
      </x:c>
      <x:c r="D12" s="132" t="str">
        <x:v>Wage inflation / delivery mix</x:v>
      </x:c>
      <x:c r="E12" s="132" t="str">
        <x:v>EBITDA margin</x:v>
      </x:c>
      <x:c r="F12" s="133" t="str">
        <x:v>Base case</x:v>
      </x:c>
    </x:row>
    <x:row r="13">
      <x:c r="A13" s="131" t="str">
        <x:v>Strong cash-generation potential</x:v>
      </x:c>
      <x:c r="B13" s="132" t="str">
        <x:v>Positive NOPAT plus D&amp;A</x:v>
      </x:c>
      <x:c r="C13" s="132" t="str">
        <x:v>FCF expands with scale</x:v>
      </x:c>
      <x:c r="D13" s="132" t="str">
        <x:v>Capex and working-capital intensity</x:v>
      </x:c>
      <x:c r="E13" s="132" t="str">
        <x:v>FCF margin / CCC</x:v>
      </x:c>
      <x:c r="F13" s="133" t="str">
        <x:v>Watch</x:v>
      </x:c>
    </x:row>
    <x:row r="14">
      <x:c r="A14" s="134" t="str">
        <x:v>Accounting comparability break</x:v>
      </x:c>
      <x:c r="B14" s="135" t="str">
        <x:v>FPT Telecom equity method from 2026</x:v>
      </x:c>
      <x:c r="C14" s="135" t="str">
        <x:v>Use independent like-for-like forecast</x:v>
      </x:c>
      <x:c r="D14" s="135" t="str">
        <x:v>Historical/guidance mismatch</x:v>
      </x:c>
      <x:c r="E14" s="135" t="str">
        <x:v>Restated segment disclosures</x:v>
      </x:c>
      <x:c r="F14" s="136" t="str">
        <x:v>High priority</x:v>
      </x:c>
    </x:row>
  </x:sheetData>
  <x:mergeCells>
    <x:mergeCell ref="A1:L2"/>
    <x:mergeCell ref="A4:C4"/>
    <x:mergeCell ref="D4:F4"/>
    <x:mergeCell ref="G4:I4"/>
    <x:mergeCell ref="J4:L4"/>
    <x:mergeCell ref="A5:C7"/>
    <x:mergeCell ref="D5:F7"/>
    <x:mergeCell ref="G5:I7"/>
    <x:mergeCell ref="J5:L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HISTORICAL FINANCIALS — OFFICIAL FPT ANNUAL REPORT HIGHLIGHTS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20" t="str">
        <x:v>VND bn</x:v>
      </x:c>
      <x:c r="B4" s="21" t="str">
        <x:v>2021A</x:v>
      </x:c>
      <x:c r="C4" s="21" t="str">
        <x:v>2022A</x:v>
      </x:c>
      <x:c r="D4" s="21" t="str">
        <x:v>2023A</x:v>
      </x:c>
      <x:c r="E4" s="21" t="str">
        <x:v>2024A</x:v>
      </x:c>
      <x:c r="F4" s="22" t="str">
        <x:v>2025A</x:v>
      </x:c>
    </x:row>
    <x:row r="5">
      <x:c r="A5" s="23" t="str">
        <x:v>Revenue</x:v>
      </x:c>
      <x:c r="B5" s="24" t="n">
        <x:v>35657</x:v>
      </x:c>
      <x:c r="C5" s="24" t="n">
        <x:v>44010</x:v>
      </x:c>
      <x:c r="D5" s="24" t="n">
        <x:v>52618</x:v>
      </x:c>
      <x:c r="E5" s="24" t="n">
        <x:v>62849</x:v>
      </x:c>
      <x:c r="F5" s="25" t="n">
        <x:v>70113</x:v>
      </x:c>
    </x:row>
    <x:row r="6">
      <x:c r="A6" s="23" t="str">
        <x:v>EBITDA</x:v>
      </x:c>
      <x:c r="B6" s="24" t="n">
        <x:v>7981</x:v>
      </x:c>
      <x:c r="C6" s="24" t="n">
        <x:v>9495</x:v>
      </x:c>
      <x:c r="D6" s="24" t="n">
        <x:v>11490</x:v>
      </x:c>
      <x:c r="E6" s="24" t="n">
        <x:v>13605</x:v>
      </x:c>
      <x:c r="F6" s="25" t="n">
        <x:v>15958</x:v>
      </x:c>
    </x:row>
    <x:row r="7">
      <x:c r="A7" s="23" t="str">
        <x:v>EBIT (reported)</x:v>
      </x:c>
      <x:c r="B7" s="24" t="n">
        <x:v>6337</x:v>
      </x:c>
      <x:c r="C7" s="24" t="n">
        <x:v>7662</x:v>
      </x:c>
      <x:c r="D7" s="24" t="n">
        <x:v>9203</x:v>
      </x:c>
      <x:c r="E7" s="24" t="n">
        <x:v>11070</x:v>
      </x:c>
      <x:c r="F7" s="25" t="n">
        <x:v>13044</x:v>
      </x:c>
    </x:row>
    <x:row r="8">
      <x:c r="A8" s="23" t="str">
        <x:v>Profit after tax</x:v>
      </x:c>
      <x:c r="B8" s="24" t="n">
        <x:v>5349</x:v>
      </x:c>
      <x:c r="C8" s="24" t="n">
        <x:v>6491</x:v>
      </x:c>
      <x:c r="D8" s="24" t="n">
        <x:v>7788</x:v>
      </x:c>
      <x:c r="E8" s="24" t="n">
        <x:v>9427</x:v>
      </x:c>
      <x:c r="F8" s="25" t="n">
        <x:v>11232</x:v>
      </x:c>
    </x:row>
    <x:row r="9">
      <x:c r="A9" s="23" t="str">
        <x:v>NPAT attributable to parent</x:v>
      </x:c>
      <x:c r="B9" s="24" t="n">
        <x:v>4337</x:v>
      </x:c>
      <x:c r="C9" s="24" t="n">
        <x:v>5310</x:v>
      </x:c>
      <x:c r="D9" s="24" t="n">
        <x:v>6465</x:v>
      </x:c>
      <x:c r="E9" s="24" t="n">
        <x:v>7857</x:v>
      </x:c>
      <x:c r="F9" s="25" t="n">
        <x:v>9376</x:v>
      </x:c>
    </x:row>
    <x:row r="10">
      <x:c r="A10" s="23" t="str">
        <x:v>Total assets</x:v>
      </x:c>
      <x:c r="B10" s="24" t="n">
        <x:v>53698</x:v>
      </x:c>
      <x:c r="C10" s="24" t="n">
        <x:v>51650</x:v>
      </x:c>
      <x:c r="D10" s="24" t="n">
        <x:v>60283</x:v>
      </x:c>
      <x:c r="E10" s="24" t="n">
        <x:v>72000</x:v>
      </x:c>
      <x:c r="F10" s="25" t="n">
        <x:v>88142</x:v>
      </x:c>
    </x:row>
    <x:row r="11">
      <x:c r="A11" s="23" t="str">
        <x:v>Owners' equity</x:v>
      </x:c>
      <x:c r="B11" s="24" t="n">
        <x:v>21418</x:v>
      </x:c>
      <x:c r="C11" s="24" t="n">
        <x:v>25356</x:v>
      </x:c>
      <x:c r="D11" s="24" t="n">
        <x:v>29933</x:v>
      </x:c>
      <x:c r="E11" s="24" t="n">
        <x:v>35728</x:v>
      </x:c>
      <x:c r="F11" s="25" t="n">
        <x:v>43748</x:v>
      </x:c>
    </x:row>
    <x:row r="12">
      <x:c r="A12" s="26" t="str">
        <x:v>Cash dividends</x:v>
      </x:c>
      <x:c r="B12" s="27" t="n">
        <x:v>1697</x:v>
      </x:c>
      <x:c r="C12" s="27" t="n">
        <x:v>2011</x:v>
      </x:c>
      <x:c r="D12" s="27" t="n">
        <x:v>2374</x:v>
      </x:c>
      <x:c r="E12" s="27" t="n">
        <x:v>2741</x:v>
      </x:c>
      <x:c r="F12" s="28" t="n">
        <x:v>3185</x:v>
      </x:c>
    </x:row>
    <x:row r="14">
      <x:c r="A14" s="20" t="str">
        <x:v>Derived metric</x:v>
      </x:c>
      <x:c r="B14" s="21" t="str">
        <x:v>2021A</x:v>
      </x:c>
      <x:c r="C14" s="21" t="str">
        <x:v>2022A</x:v>
      </x:c>
      <x:c r="D14" s="21" t="str">
        <x:v>2023A</x:v>
      </x:c>
      <x:c r="E14" s="21" t="str">
        <x:v>2024A</x:v>
      </x:c>
      <x:c r="F14" s="22" t="str">
        <x:v>2025A</x:v>
      </x:c>
    </x:row>
    <x:row r="15">
      <x:c r="A15" s="23" t="str">
        <x:v>Revenue growth</x:v>
      </x:c>
      <x:c r="B15" s="31" t="str">
        <x:f>""</x:f>
      </x:c>
      <x:c r="C15" s="31" t="n">
        <x:f>C5/B5-1</x:f>
        <x:v>0.23425975264323973</x:v>
      </x:c>
      <x:c r="D15" s="31" t="n">
        <x:f>D5/C5-1</x:f>
        <x:v>0.19559191092933426</x:v>
      </x:c>
      <x:c r="E15" s="31" t="n">
        <x:f>E5/D5-1</x:f>
        <x:v>0.19443916530464866</x:v>
      </x:c>
      <x:c r="F15" s="32" t="n">
        <x:f>F5/E5-1</x:f>
        <x:v>0.11557860904708117</x:v>
      </x:c>
    </x:row>
    <x:row r="16">
      <x:c r="A16" s="23" t="str">
        <x:v>EBITDA margin</x:v>
      </x:c>
      <x:c r="B16" s="31" t="n">
        <x:f>B6/B5</x:f>
        <x:v>0.22382701853773454</x:v>
      </x:c>
      <x:c r="C16" s="31" t="n">
        <x:f>C6/C5</x:f>
        <x:v>0.21574642126789367</x:v>
      </x:c>
      <x:c r="D16" s="31" t="n">
        <x:f>D6/D5</x:f>
        <x:v>0.21836633851533696</x:v>
      </x:c>
      <x:c r="E16" s="31" t="n">
        <x:f>E6/E5</x:f>
        <x:v>0.21647122468137917</x:v>
      </x:c>
      <x:c r="F16" s="32" t="n">
        <x:f>F6/F5</x:f>
        <x:v>0.22760401066849228</x:v>
      </x:c>
    </x:row>
    <x:row r="17">
      <x:c r="A17" s="23" t="str">
        <x:v>EBIT margin</x:v>
      </x:c>
      <x:c r="B17" s="31" t="n">
        <x:f>B7/B5</x:f>
        <x:v>0.1777210645875985</x:v>
      </x:c>
      <x:c r="C17" s="31" t="n">
        <x:f>C7/C5</x:f>
        <x:v>0.17409679618268575</x:v>
      </x:c>
      <x:c r="D17" s="31" t="n">
        <x:f>D7/D5</x:f>
        <x:v>0.17490212474818503</x:v>
      </x:c>
      <x:c r="E17" s="31" t="n">
        <x:f>E7/E5</x:f>
        <x:v>0.17613645404063707</x:v>
      </x:c>
      <x:c r="F17" s="32" t="n">
        <x:f>F7/F5</x:f>
        <x:v>0.18604253134226179</x:v>
      </x:c>
    </x:row>
    <x:row r="18">
      <x:c r="A18" s="23" t="str">
        <x:v>Effective tax rate</x:v>
      </x:c>
      <x:c r="B18" s="31" t="n">
        <x:f>1-B8/B7</x:f>
        <x:v>0.15590973646836037</x:v>
      </x:c>
      <x:c r="C18" s="31" t="n">
        <x:f>1-C8/C7</x:f>
        <x:v>0.15283215870529887</x:v>
      </x:c>
      <x:c r="D18" s="31" t="n">
        <x:f>1-D8/D7</x:f>
        <x:v>0.15375421058350536</x:v>
      </x:c>
      <x:c r="E18" s="31" t="n">
        <x:f>1-E8/E7</x:f>
        <x:v>0.14841915085817525</x:v>
      </x:c>
      <x:c r="F18" s="32" t="n">
        <x:f>1-F8/F7</x:f>
        <x:v>0.1389144434222631</x:v>
      </x:c>
    </x:row>
    <x:row r="19">
      <x:c r="A19" s="23" t="str">
        <x:v>D&amp;A (EBITDA - reported EBIT)</x:v>
      </x:c>
      <x:c r="B19" s="33" t="n">
        <x:f>B6-B7</x:f>
        <x:v>1644</x:v>
      </x:c>
      <x:c r="C19" s="33" t="n">
        <x:f>C6-C7</x:f>
        <x:v>1833</x:v>
      </x:c>
      <x:c r="D19" s="33" t="n">
        <x:f>D6-D7</x:f>
        <x:v>2287</x:v>
      </x:c>
      <x:c r="E19" s="33" t="n">
        <x:f>E6-E7</x:f>
        <x:v>2535</x:v>
      </x:c>
      <x:c r="F19" s="34" t="n">
        <x:f>F6-F7</x:f>
        <x:v>2914</x:v>
      </x:c>
    </x:row>
    <x:row r="20">
      <x:c r="A20" s="26" t="str">
        <x:v>ROE (NPAT / avg equity)</x:v>
      </x:c>
      <x:c r="B20" s="35" t="n">
        <x:f>B8/B11</x:f>
        <x:v>0.24974320664861333</x:v>
      </x:c>
      <x:c r="C20" s="35" t="n">
        <x:f>C8/AVERAGE(B11,C11)</x:f>
        <x:v>0.27754735536836705</x:v>
      </x:c>
      <x:c r="D20" s="35" t="n">
        <x:f>D8/AVERAGE(C11,D11)</x:f>
        <x:v>0.28171969107779127</x:v>
      </x:c>
      <x:c r="E20" s="35" t="n">
        <x:f>E8/AVERAGE(D11,E11)</x:f>
        <x:v>0.28714152997974446</x:v>
      </x:c>
      <x:c r="F20" s="36" t="n">
        <x:f>F8/AVERAGE(E11,F11)</x:f>
        <x:v>0.28265136645024913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7" hidden="0" customWidth="1"/>
  </x:cols>
  <x:sheetData>
    <x:row r="1">
      <x:c r="A1" s="3" t="str">
        <x:v>FORECAST &amp; VALUATION ASSUMPTIONS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20" t="str">
        <x:v>Driver</x:v>
      </x:c>
      <x:c r="B4" s="21" t="str">
        <x:v>Unit</x:v>
      </x:c>
      <x:c r="C4" s="21" t="str">
        <x:v>2026E</x:v>
      </x:c>
      <x:c r="D4" s="21" t="str">
        <x:v>2027E</x:v>
      </x:c>
      <x:c r="E4" s="21" t="str">
        <x:v>2028E</x:v>
      </x:c>
      <x:c r="F4" s="21" t="str">
        <x:v>2029E</x:v>
      </x:c>
      <x:c r="G4" s="21" t="str">
        <x:v>2030E</x:v>
      </x:c>
      <x:c r="H4" s="22" t="str">
        <x:v>Rationale</x:v>
      </x:c>
    </x:row>
    <x:row r="5">
      <x:c r="A5" s="23" t="str">
        <x:v>Revenue growth</x:v>
      </x:c>
      <x:c r="B5" s="39" t="str">
        <x:v>%</x:v>
      </x:c>
      <x:c r="C5" s="40" t="n">
        <x:v>0.14</x:v>
      </x:c>
      <x:c r="D5" s="40" t="n">
        <x:v>0.13</x:v>
      </x:c>
      <x:c r="E5" s="40" t="n">
        <x:v>0.12</x:v>
      </x:c>
      <x:c r="F5" s="40" t="n">
        <x:v>0.11</x:v>
      </x:c>
      <x:c r="G5" s="40" t="n">
        <x:v>0.1</x:v>
      </x:c>
      <x:c r="H5" s="41" t="str">
        <x:v>Moderating double-digit growth; independent scenario</x:v>
      </x:c>
    </x:row>
    <x:row r="6">
      <x:c r="A6" s="23" t="str">
        <x:v>EBITDA margin</x:v>
      </x:c>
      <x:c r="B6" s="39" t="str">
        <x:v>%</x:v>
      </x:c>
      <x:c r="C6" s="40" t="n">
        <x:v>0.229</x:v>
      </x:c>
      <x:c r="D6" s="40" t="n">
        <x:v>0.231</x:v>
      </x:c>
      <x:c r="E6" s="40" t="n">
        <x:v>0.233</x:v>
      </x:c>
      <x:c r="F6" s="40" t="n">
        <x:v>0.234</x:v>
      </x:c>
      <x:c r="G6" s="40" t="n">
        <x:v>0.235</x:v>
      </x:c>
      <x:c r="H6" s="41" t="str">
        <x:v>Scale benefits with modest margin expansion</x:v>
      </x:c>
    </x:row>
    <x:row r="7">
      <x:c r="A7" s="23" t="str">
        <x:v>D&amp;A / revenue</x:v>
      </x:c>
      <x:c r="B7" s="39" t="str">
        <x:v>%</x:v>
      </x:c>
      <x:c r="C7" s="40" t="n">
        <x:v>0.042</x:v>
      </x:c>
      <x:c r="D7" s="40" t="n">
        <x:v>0.042</x:v>
      </x:c>
      <x:c r="E7" s="40" t="n">
        <x:v>0.041</x:v>
      </x:c>
      <x:c r="F7" s="40" t="n">
        <x:v>0.041</x:v>
      </x:c>
      <x:c r="G7" s="40" t="n">
        <x:v>0.04</x:v>
      </x:c>
      <x:c r="H7" s="41" t="str">
        <x:v>Anchored to 2021–2025 historical range</x:v>
      </x:c>
    </x:row>
    <x:row r="8">
      <x:c r="A8" s="23" t="str">
        <x:v>Cash tax rate</x:v>
      </x:c>
      <x:c r="B8" s="39" t="str">
        <x:v>%</x:v>
      </x:c>
      <x:c r="C8" s="40" t="n">
        <x:v>0.15</x:v>
      </x:c>
      <x:c r="D8" s="40" t="n">
        <x:v>0.15</x:v>
      </x:c>
      <x:c r="E8" s="40" t="n">
        <x:v>0.15</x:v>
      </x:c>
      <x:c r="F8" s="40" t="n">
        <x:v>0.15</x:v>
      </x:c>
      <x:c r="G8" s="40" t="n">
        <x:v>0.15</x:v>
      </x:c>
      <x:c r="H8" s="41" t="str">
        <x:v>Rounded historical effective tax rate</x:v>
      </x:c>
    </x:row>
    <x:row r="9">
      <x:c r="A9" s="23" t="str">
        <x:v>Capex / revenue</x:v>
      </x:c>
      <x:c r="B9" s="39" t="str">
        <x:v>%</x:v>
      </x:c>
      <x:c r="C9" s="40" t="n">
        <x:v>0.07</x:v>
      </x:c>
      <x:c r="D9" s="40" t="n">
        <x:v>0.068</x:v>
      </x:c>
      <x:c r="E9" s="40" t="n">
        <x:v>0.066</x:v>
      </x:c>
      <x:c r="F9" s="40" t="n">
        <x:v>0.064</x:v>
      </x:c>
      <x:c r="G9" s="40" t="n">
        <x:v>0.062</x:v>
      </x:c>
      <x:c r="H9" s="41" t="str">
        <x:v>Illustrative reinvestment assumption</x:v>
      </x:c>
    </x:row>
    <x:row r="10">
      <x:c r="A10" s="26" t="str">
        <x:v>Cash conversion cycle</x:v>
      </x:c>
      <x:c r="B10" s="42" t="str">
        <x:v>days</x:v>
      </x:c>
      <x:c r="C10" s="43" t="n">
        <x:v>48</x:v>
      </x:c>
      <x:c r="D10" s="43" t="n">
        <x:v>47</x:v>
      </x:c>
      <x:c r="E10" s="43" t="n">
        <x:v>46</x:v>
      </x:c>
      <x:c r="F10" s="43" t="n">
        <x:v>45</x:v>
      </x:c>
      <x:c r="G10" s="43" t="n">
        <x:v>44</x:v>
      </x:c>
      <x:c r="H10" s="44" t="str">
        <x:v>Gradual working-capital efficiency</x:v>
      </x:c>
    </x:row>
    <x:row r="13">
      <x:c r="A13" s="20" t="str">
        <x:v>DCF input</x:v>
      </x:c>
      <x:c r="B13" s="22" t="str">
        <x:v>Value</x:v>
      </x:c>
      <x:c r="D13" s="15" t="str">
        <x:v>Yellow cells are user inputs. Net cash is deliberately marked illustrative because the official highlight tables do not provide the exact year-end cash less debt figure. Replace it with audited balance-sheet detail before using the output in a live investment decision.</x:v>
      </x:c>
      <x:c r="E13" s="15"/>
      <x:c r="F13" s="15"/>
      <x:c r="G13" s="15"/>
      <x:c r="H13" s="15"/>
    </x:row>
    <x:row r="14">
      <x:c r="A14" s="23" t="str">
        <x:v>WACC</x:v>
      </x:c>
      <x:c r="B14" s="46" t="n">
        <x:v>0.105</x:v>
      </x:c>
      <x:c r="D14" s="15"/>
      <x:c r="E14" s="15"/>
      <x:c r="F14" s="15"/>
      <x:c r="G14" s="15"/>
      <x:c r="H14" s="15"/>
    </x:row>
    <x:row r="15">
      <x:c r="A15" s="23" t="str">
        <x:v>Terminal growth</x:v>
      </x:c>
      <x:c r="B15" s="46" t="n">
        <x:v>0.04</x:v>
      </x:c>
      <x:c r="D15" s="15"/>
      <x:c r="E15" s="15"/>
      <x:c r="F15" s="15"/>
      <x:c r="G15" s="15"/>
      <x:c r="H15" s="15"/>
    </x:row>
    <x:row r="16">
      <x:c r="A16" s="23" t="str">
        <x:v>Net cash (illustrative, VND bn)</x:v>
      </x:c>
      <x:c r="B16" s="47" t="n">
        <x:v>10000</x:v>
      </x:c>
      <x:c r="D16" s="15"/>
      <x:c r="E16" s="15"/>
      <x:c r="F16" s="15"/>
      <x:c r="G16" s="15"/>
      <x:c r="H16" s="15"/>
    </x:row>
    <x:row r="17">
      <x:c r="A17" s="23" t="str">
        <x:v>Diluted shares (million)</x:v>
      </x:c>
      <x:c r="B17" s="47" t="n">
        <x:v>1797.5</x:v>
      </x:c>
      <x:c r="D17" s="15"/>
      <x:c r="E17" s="15"/>
      <x:c r="F17" s="15"/>
      <x:c r="G17" s="15"/>
      <x:c r="H17" s="15"/>
    </x:row>
    <x:row r="18">
      <x:c r="A18" s="23" t="str">
        <x:v>Valuation basis</x:v>
      </x:c>
      <x:c r="B18" s="41" t="str">
        <x:v>FY2025 year-end</x:v>
      </x:c>
      <x:c r="D18" s="15"/>
      <x:c r="E18" s="15"/>
      <x:c r="F18" s="15"/>
      <x:c r="G18" s="15"/>
      <x:c r="H18" s="15"/>
    </x:row>
    <x:row r="19">
      <x:c r="A19" s="26" t="str">
        <x:v>Scenario</x:v>
      </x:c>
      <x:c r="B19" s="44" t="str">
        <x:v>Base case</x:v>
      </x:c>
      <x:c r="D19" s="15"/>
      <x:c r="E19" s="15"/>
      <x:c r="F19" s="15"/>
      <x:c r="G19" s="15"/>
      <x:c r="H19" s="15"/>
    </x:row>
  </x:sheetData>
  <x:mergeCells>
    <x:mergeCell ref="A1:H2"/>
    <x:mergeCell ref="D13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3" t="str">
        <x:v>OPERATING MODEL &amp; UNLEVERED FREE CASH FLOW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20" t="str">
        <x:v>VND bn</x:v>
      </x:c>
      <x:c r="B4" s="21" t="str">
        <x:v>2021A</x:v>
      </x:c>
      <x:c r="C4" s="21" t="str">
        <x:v>2022A</x:v>
      </x:c>
      <x:c r="D4" s="21" t="str">
        <x:v>2023A</x:v>
      </x:c>
      <x:c r="E4" s="21" t="str">
        <x:v>2024A</x:v>
      </x:c>
      <x:c r="F4" s="21" t="str">
        <x:v>2025A</x:v>
      </x:c>
      <x:c r="G4" s="51" t="str">
        <x:v>2026E</x:v>
      </x:c>
      <x:c r="H4" s="51" t="str">
        <x:v>2027E</x:v>
      </x:c>
      <x:c r="I4" s="51" t="str">
        <x:v>2028E</x:v>
      </x:c>
      <x:c r="J4" s="51" t="str">
        <x:v>2029E</x:v>
      </x:c>
      <x:c r="K4" s="52" t="str">
        <x:v>2030E</x:v>
      </x:c>
    </x:row>
    <x:row r="5">
      <x:c r="A5" s="23" t="str">
        <x:v>Revenue</x:v>
      </x:c>
      <x:c r="B5" s="24" t="n">
        <x:f>'Historical'!B5</x:f>
        <x:v>35657</x:v>
      </x:c>
      <x:c r="C5" s="24" t="n">
        <x:f>'Historical'!C5</x:f>
        <x:v>44010</x:v>
      </x:c>
      <x:c r="D5" s="24" t="n">
        <x:f>'Historical'!D5</x:f>
        <x:v>52618</x:v>
      </x:c>
      <x:c r="E5" s="24" t="n">
        <x:f>'Historical'!E5</x:f>
        <x:v>62849</x:v>
      </x:c>
      <x:c r="F5" s="24" t="n">
        <x:f>'Historical'!F5</x:f>
        <x:v>70113</x:v>
      </x:c>
      <x:c r="G5" s="53" t="n">
        <x:f>F5*(1+'Assumptions'!C5)</x:f>
        <x:v>79928.82</x:v>
      </x:c>
      <x:c r="H5" s="53" t="n">
        <x:f>G5*(1+'Assumptions'!D5)</x:f>
        <x:v>90319.5666</x:v>
      </x:c>
      <x:c r="I5" s="53" t="n">
        <x:f>H5*(1+'Assumptions'!E5)</x:f>
        <x:v>101157.91459200002</x:v>
      </x:c>
      <x:c r="J5" s="53" t="n">
        <x:f>I5*(1+'Assumptions'!F5)</x:f>
        <x:v>112285.28519712003</x:v>
      </x:c>
      <x:c r="K5" s="54" t="n">
        <x:f>J5*(1+'Assumptions'!G5)</x:f>
        <x:v>123513.81371683204</x:v>
      </x:c>
    </x:row>
    <x:row r="6">
      <x:c r="A6" s="23" t="str">
        <x:v>Growth</x:v>
      </x:c>
      <x:c r="B6" s="31" t="str">
        <x:f>""</x:f>
      </x:c>
      <x:c r="C6" s="31" t="n">
        <x:f>C5/B5-1</x:f>
        <x:v>0.23425975264323973</x:v>
      </x:c>
      <x:c r="D6" s="31" t="n">
        <x:f>D5/C5-1</x:f>
        <x:v>0.19559191092933426</x:v>
      </x:c>
      <x:c r="E6" s="31" t="n">
        <x:f>E5/D5-1</x:f>
        <x:v>0.19443916530464866</x:v>
      </x:c>
      <x:c r="F6" s="31" t="n">
        <x:f>F5/E5-1</x:f>
        <x:v>0.11557860904708117</x:v>
      </x:c>
      <x:c r="G6" s="55" t="n">
        <x:f>'Assumptions'!C5</x:f>
        <x:v>0.14</x:v>
      </x:c>
      <x:c r="H6" s="55" t="n">
        <x:f>'Assumptions'!D5</x:f>
        <x:v>0.13</x:v>
      </x:c>
      <x:c r="I6" s="55" t="n">
        <x:f>'Assumptions'!E5</x:f>
        <x:v>0.12</x:v>
      </x:c>
      <x:c r="J6" s="55" t="n">
        <x:f>'Assumptions'!F5</x:f>
        <x:v>0.11</x:v>
      </x:c>
      <x:c r="K6" s="56" t="n">
        <x:f>'Assumptions'!G5</x:f>
        <x:v>0.1</x:v>
      </x:c>
    </x:row>
    <x:row r="7">
      <x:c r="A7" s="23" t="str">
        <x:v>EBITDA</x:v>
      </x:c>
      <x:c r="B7" s="31" t="n">
        <x:f>'Historical'!B6</x:f>
        <x:v>7981</x:v>
      </x:c>
      <x:c r="C7" s="31" t="n">
        <x:f>'Historical'!C6</x:f>
        <x:v>9495</x:v>
      </x:c>
      <x:c r="D7" s="31" t="n">
        <x:f>'Historical'!D6</x:f>
        <x:v>11490</x:v>
      </x:c>
      <x:c r="E7" s="31" t="n">
        <x:f>'Historical'!E6</x:f>
        <x:v>13605</x:v>
      </x:c>
      <x:c r="F7" s="31" t="n">
        <x:f>'Historical'!F6</x:f>
        <x:v>15958</x:v>
      </x:c>
      <x:c r="G7" s="55" t="n">
        <x:f>G5*'Assumptions'!C6</x:f>
        <x:v>18303.699780000003</x:v>
      </x:c>
      <x:c r="H7" s="55" t="n">
        <x:f>H5*'Assumptions'!D6</x:f>
        <x:v>20863.8198846</x:v>
      </x:c>
      <x:c r="I7" s="55" t="n">
        <x:f>I5*'Assumptions'!E6</x:f>
        <x:v>23569.794099936003</x:v>
      </x:c>
      <x:c r="J7" s="55" t="n">
        <x:f>J5*'Assumptions'!F6</x:f>
        <x:v>26274.756736126088</x:v>
      </x:c>
      <x:c r="K7" s="56" t="n">
        <x:f>K5*'Assumptions'!G6</x:f>
        <x:v>29025.746223455528</x:v>
      </x:c>
    </x:row>
    <x:row r="8">
      <x:c r="A8" s="23" t="str">
        <x:v>EBITDA margin</x:v>
      </x:c>
      <x:c r="B8" s="31" t="n">
        <x:f>B7/B5</x:f>
        <x:v>0.22382701853773454</x:v>
      </x:c>
      <x:c r="C8" s="31" t="n">
        <x:f>C7/C5</x:f>
        <x:v>0.21574642126789367</x:v>
      </x:c>
      <x:c r="D8" s="31" t="n">
        <x:f>D7/D5</x:f>
        <x:v>0.21836633851533696</x:v>
      </x:c>
      <x:c r="E8" s="31" t="n">
        <x:f>E7/E5</x:f>
        <x:v>0.21647122468137917</x:v>
      </x:c>
      <x:c r="F8" s="31" t="n">
        <x:f>F7/F5</x:f>
        <x:v>0.22760401066849228</x:v>
      </x:c>
      <x:c r="G8" s="55" t="n">
        <x:f>G7/G5</x:f>
        <x:v>0.229</x:v>
      </x:c>
      <x:c r="H8" s="55" t="n">
        <x:f>H7/H5</x:f>
        <x:v>0.231</x:v>
      </x:c>
      <x:c r="I8" s="55" t="n">
        <x:f>I7/I5</x:f>
        <x:v>0.23299999999999998</x:v>
      </x:c>
      <x:c r="J8" s="55" t="n">
        <x:f>J7/J5</x:f>
        <x:v>0.234</x:v>
      </x:c>
      <x:c r="K8" s="56" t="n">
        <x:f>K7/K5</x:f>
        <x:v>0.235</x:v>
      </x:c>
    </x:row>
    <x:row r="9">
      <x:c r="A9" s="23" t="str">
        <x:v>D&amp;A</x:v>
      </x:c>
      <x:c r="B9" s="24" t="n">
        <x:f>'Historical'!B19</x:f>
        <x:v>1644</x:v>
      </x:c>
      <x:c r="C9" s="24" t="n">
        <x:f>'Historical'!C19</x:f>
        <x:v>1833</x:v>
      </x:c>
      <x:c r="D9" s="24" t="n">
        <x:f>'Historical'!D19</x:f>
        <x:v>2287</x:v>
      </x:c>
      <x:c r="E9" s="24" t="n">
        <x:f>'Historical'!E19</x:f>
        <x:v>2535</x:v>
      </x:c>
      <x:c r="F9" s="24" t="n">
        <x:f>'Historical'!F19</x:f>
        <x:v>2914</x:v>
      </x:c>
      <x:c r="G9" s="53" t="n">
        <x:f>G5*'Assumptions'!C7</x:f>
        <x:v>3357.0104400000005</x:v>
      </x:c>
      <x:c r="H9" s="53" t="n">
        <x:f>H5*'Assumptions'!D7</x:f>
        <x:v>3793.4217972000006</x:v>
      </x:c>
      <x:c r="I9" s="53" t="n">
        <x:f>I5*'Assumptions'!E7</x:f>
        <x:v>4147.474498272001</x:v>
      </x:c>
      <x:c r="J9" s="53" t="n">
        <x:f>J5*'Assumptions'!F7</x:f>
        <x:v>4603.696693081922</x:v>
      </x:c>
      <x:c r="K9" s="54" t="n">
        <x:f>K5*'Assumptions'!G7</x:f>
        <x:v>4940.552548673281</x:v>
      </x:c>
    </x:row>
    <x:row r="10">
      <x:c r="A10" s="23" t="str">
        <x:v>EBIT</x:v>
      </x:c>
      <x:c r="B10" s="24" t="n">
        <x:f>'Historical'!B7</x:f>
        <x:v>6337</x:v>
      </x:c>
      <x:c r="C10" s="24" t="n">
        <x:f>'Historical'!C7</x:f>
        <x:v>7662</x:v>
      </x:c>
      <x:c r="D10" s="24" t="n">
        <x:f>'Historical'!D7</x:f>
        <x:v>9203</x:v>
      </x:c>
      <x:c r="E10" s="24" t="n">
        <x:f>'Historical'!E7</x:f>
        <x:v>11070</x:v>
      </x:c>
      <x:c r="F10" s="24" t="n">
        <x:f>'Historical'!F7</x:f>
        <x:v>13044</x:v>
      </x:c>
      <x:c r="G10" s="53" t="n">
        <x:f>G7-G9</x:f>
        <x:v>14946.689340000003</x:v>
      </x:c>
      <x:c r="H10" s="53" t="n">
        <x:f>H7-H9</x:f>
        <x:v>17070.3980874</x:v>
      </x:c>
      <x:c r="I10" s="53" t="n">
        <x:f>I7-I9</x:f>
        <x:v>19422.319601664003</x:v>
      </x:c>
      <x:c r="J10" s="53" t="n">
        <x:f>J7-J9</x:f>
        <x:v>21671.060043044166</x:v>
      </x:c>
      <x:c r="K10" s="54" t="n">
        <x:f>K7-K9</x:f>
        <x:v>24085.193674782247</x:v>
      </x:c>
    </x:row>
    <x:row r="11">
      <x:c r="A11" s="23" t="str">
        <x:v>EBIT margin</x:v>
      </x:c>
      <x:c r="B11" s="31" t="n">
        <x:f>B10/B5</x:f>
        <x:v>0.1777210645875985</x:v>
      </x:c>
      <x:c r="C11" s="31" t="n">
        <x:f>C10/C5</x:f>
        <x:v>0.17409679618268575</x:v>
      </x:c>
      <x:c r="D11" s="31" t="n">
        <x:f>D10/D5</x:f>
        <x:v>0.17490212474818503</x:v>
      </x:c>
      <x:c r="E11" s="31" t="n">
        <x:f>E10/E5</x:f>
        <x:v>0.17613645404063707</x:v>
      </x:c>
      <x:c r="F11" s="31" t="n">
        <x:f>F10/F5</x:f>
        <x:v>0.18604253134226179</x:v>
      </x:c>
      <x:c r="G11" s="55" t="n">
        <x:f>G10/G5</x:f>
        <x:v>0.18700000000000003</x:v>
      </x:c>
      <x:c r="H11" s="55" t="n">
        <x:f>H10/H5</x:f>
        <x:v>0.189</x:v>
      </x:c>
      <x:c r="I11" s="55" t="n">
        <x:f>I10/I5</x:f>
        <x:v>0.192</x:v>
      </x:c>
      <x:c r="J11" s="55" t="n">
        <x:f>J10/J5</x:f>
        <x:v>0.193</x:v>
      </x:c>
      <x:c r="K11" s="56" t="n">
        <x:f>K10/K5</x:f>
        <x:v>0.195</x:v>
      </x:c>
    </x:row>
    <x:row r="12">
      <x:c r="A12" s="23" t="str">
        <x:v>Cash taxes</x:v>
      </x:c>
      <x:c r="B12" s="24"/>
      <x:c r="C12" s="24"/>
      <x:c r="D12" s="24"/>
      <x:c r="E12" s="24"/>
      <x:c r="F12" s="24"/>
      <x:c r="G12" s="53" t="n">
        <x:f>G10*'Assumptions'!C8</x:f>
        <x:v>2242.0034010000004</x:v>
      </x:c>
      <x:c r="H12" s="53" t="n">
        <x:f>H10*'Assumptions'!D8</x:f>
        <x:v>2560.55971311</x:v>
      </x:c>
      <x:c r="I12" s="53" t="n">
        <x:f>I10*'Assumptions'!E8</x:f>
        <x:v>2913.3479402496005</x:v>
      </x:c>
      <x:c r="J12" s="53" t="n">
        <x:f>J10*'Assumptions'!F8</x:f>
        <x:v>3250.659006456625</x:v>
      </x:c>
      <x:c r="K12" s="54" t="n">
        <x:f>K10*'Assumptions'!G8</x:f>
        <x:v>3612.779051217337</x:v>
      </x:c>
    </x:row>
    <x:row r="13">
      <x:c r="A13" s="23" t="str">
        <x:v>NOPAT</x:v>
      </x:c>
      <x:c r="B13" s="24"/>
      <x:c r="C13" s="24"/>
      <x:c r="D13" s="24"/>
      <x:c r="E13" s="24"/>
      <x:c r="F13" s="24"/>
      <x:c r="G13" s="53" t="n">
        <x:f>G10-G12</x:f>
        <x:v>12704.685939000003</x:v>
      </x:c>
      <x:c r="H13" s="53" t="n">
        <x:f>H10-H12</x:f>
        <x:v>14509.83837429</x:v>
      </x:c>
      <x:c r="I13" s="53" t="n">
        <x:f>I10-I12</x:f>
        <x:v>16508.9716614144</x:v>
      </x:c>
      <x:c r="J13" s="53" t="n">
        <x:f>J10-J12</x:f>
        <x:v>18420.40103658754</x:v>
      </x:c>
      <x:c r="K13" s="54" t="n">
        <x:f>K10-K12</x:f>
        <x:v>20472.41462356491</x:v>
      </x:c>
    </x:row>
    <x:row r="14">
      <x:c r="A14" s="23" t="str">
        <x:v>Capex</x:v>
      </x:c>
      <x:c r="B14" s="24"/>
      <x:c r="C14" s="24"/>
      <x:c r="D14" s="24"/>
      <x:c r="E14" s="24"/>
      <x:c r="F14" s="24"/>
      <x:c r="G14" s="53" t="n">
        <x:f>G5*'Assumptions'!C9</x:f>
        <x:v>5595.017400000001</x:v>
      </x:c>
      <x:c r="H14" s="53" t="n">
        <x:f>H5*'Assumptions'!D9</x:f>
        <x:v>6141.730528800001</x:v>
      </x:c>
      <x:c r="I14" s="53" t="n">
        <x:f>I5*'Assumptions'!E9</x:f>
        <x:v>6676.422363072002</x:v>
      </x:c>
      <x:c r="J14" s="53" t="n">
        <x:f>J5*'Assumptions'!F9</x:f>
        <x:v>7186.258252615682</x:v>
      </x:c>
      <x:c r="K14" s="54" t="n">
        <x:f>K5*'Assumptions'!G9</x:f>
        <x:v>7657.856450443586</x:v>
      </x:c>
    </x:row>
    <x:row r="15">
      <x:c r="A15" s="23" t="str">
        <x:v>NWC</x:v>
      </x:c>
      <x:c r="B15" s="24"/>
      <x:c r="C15" s="24"/>
      <x:c r="D15" s="24"/>
      <x:c r="E15" s="24"/>
      <x:c r="F15" s="24" t="n">
        <x:f>F5/365*49</x:f>
        <x:v>9412.4301369863</x:v>
      </x:c>
      <x:c r="G15" s="53" t="n">
        <x:f>G5/365*'Assumptions'!C10</x:f>
        <x:v>10511.187287671233</x:v>
      </x:c>
      <x:c r="H15" s="53" t="n">
        <x:f>H5/365*'Assumptions'!D10</x:f>
        <x:v>11630.190767671233</x:v>
      </x:c>
      <x:c r="I15" s="53" t="n">
        <x:f>I5/365*'Assumptions'!E10</x:f>
        <x:v>12748.66868830685</x:v>
      </x:c>
      <x:c r="J15" s="53" t="n">
        <x:f>J5/365*'Assumptions'!F10</x:f>
        <x:v>13843.391325672334</x:v>
      </x:c>
      <x:c r="K15" s="54" t="n">
        <x:f>K5/365*'Assumptions'!G10</x:f>
        <x:v>14889.336448056467</x:v>
      </x:c>
    </x:row>
    <x:row r="16">
      <x:c r="A16" s="23" t="str">
        <x:v>Change in NWC</x:v>
      </x:c>
      <x:c r="B16" s="24"/>
      <x:c r="C16" s="24"/>
      <x:c r="D16" s="24"/>
      <x:c r="E16" s="24"/>
      <x:c r="F16" s="24"/>
      <x:c r="G16" s="53" t="n">
        <x:f>G15-F15</x:f>
        <x:v>1098.7571506849326</x:v>
      </x:c>
      <x:c r="H16" s="53" t="n">
        <x:f>H15-G15</x:f>
        <x:v>1119.0034799999994</x:v>
      </x:c>
      <x:c r="I16" s="53" t="n">
        <x:f>I15-H15</x:f>
        <x:v>1118.477920635618</x:v>
      </x:c>
      <x:c r="J16" s="53" t="n">
        <x:f>J15-I15</x:f>
        <x:v>1094.722637365483</x:v>
      </x:c>
      <x:c r="K16" s="54" t="n">
        <x:f>K15-J15</x:f>
        <x:v>1045.9451223841334</x:v>
      </x:c>
    </x:row>
    <x:row r="17">
      <x:c r="A17" s="23" t="str">
        <x:v>Unlevered FCF</x:v>
      </x:c>
      <x:c r="B17" s="24"/>
      <x:c r="C17" s="24"/>
      <x:c r="D17" s="24"/>
      <x:c r="E17" s="24"/>
      <x:c r="F17" s="24"/>
      <x:c r="G17" s="53" t="n">
        <x:f>G13+G9-G14-G16</x:f>
        <x:v>9367.92182831507</x:v>
      </x:c>
      <x:c r="H17" s="53" t="n">
        <x:f>H13+H9-H14-H16</x:f>
        <x:v>11042.526162690001</x:v>
      </x:c>
      <x:c r="I17" s="53" t="n">
        <x:f>I13+I9-I14-I16</x:f>
        <x:v>12861.545875978783</x:v>
      </x:c>
      <x:c r="J17" s="53" t="n">
        <x:f>J13+J9-J14-J16</x:f>
        <x:v>14743.116839688297</x:v>
      </x:c>
      <x:c r="K17" s="54" t="n">
        <x:f>K13+K9-K14-K16</x:f>
        <x:v>16709.165599410473</x:v>
      </x:c>
    </x:row>
    <x:row r="18">
      <x:c r="A18" s="26" t="str">
        <x:v>FCF margin</x:v>
      </x:c>
      <x:c r="B18" s="35"/>
      <x:c r="C18" s="35"/>
      <x:c r="D18" s="35"/>
      <x:c r="E18" s="35"/>
      <x:c r="F18" s="35"/>
      <x:c r="G18" s="57" t="n">
        <x:f>G17/G5</x:f>
        <x:v>0.117203304494112</x:v>
      </x:c>
      <x:c r="H18" s="57" t="n">
        <x:f>H17/H5</x:f>
        <x:v>0.12226061946902655</x:v>
      </x:c>
      <x:c r="I18" s="57" t="n">
        <x:f>I17/I5</x:f>
        <x:v>0.12714324853228962</x:v>
      </x:c>
      <x:c r="J18" s="57" t="n">
        <x:f>J17/J5</x:f>
        <x:v>0.1313005244970998</x:v>
      </x:c>
      <x:c r="K18" s="58" t="n">
        <x:f>K17/K5</x:f>
        <x:v>0.13528175591531755</x:v>
      </x:c>
    </x:row>
  </x:sheetData>
  <x:mergeCells>
    <x:mergeCell ref="A1:K2"/>
  </x:mergeCells>
  <x:pageMargins left="0.7" right="0.7" top="0.75" bottom="0.75" header="0.3" footer="0.3"/>
  <x:drawing xmlns:r="http://schemas.openxmlformats.org/officeDocument/2006/relationships" r:id="Rc56c832ab31849e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DISCOUNTED CASH FLOW VALUATION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20" t="str">
        <x:v>VND bn</x:v>
      </x:c>
      <x:c r="B4" s="21" t="str">
        <x:v>2026E</x:v>
      </x:c>
      <x:c r="C4" s="21" t="str">
        <x:v>2027E</x:v>
      </x:c>
      <x:c r="D4" s="21" t="str">
        <x:v>2028E</x:v>
      </x:c>
      <x:c r="E4" s="21" t="str">
        <x:v>2029E</x:v>
      </x:c>
      <x:c r="F4" s="22" t="str">
        <x:v>2030E</x:v>
      </x:c>
    </x:row>
    <x:row r="5">
      <x:c r="A5" s="23" t="str">
        <x:v>Unlevered FCF</x:v>
      </x:c>
      <x:c r="B5" s="64" t="n">
        <x:f>'Operating_Model'!G17</x:f>
        <x:v>9367.92182831507</x:v>
      </x:c>
      <x:c r="C5" s="64" t="n">
        <x:f>'Operating_Model'!H17</x:f>
        <x:v>11042.526162690001</x:v>
      </x:c>
      <x:c r="D5" s="64" t="n">
        <x:f>'Operating_Model'!I17</x:f>
        <x:v>12861.545875978783</x:v>
      </x:c>
      <x:c r="E5" s="64" t="n">
        <x:f>'Operating_Model'!J17</x:f>
        <x:v>14743.116839688297</x:v>
      </x:c>
      <x:c r="F5" s="65" t="n">
        <x:f>'Operating_Model'!K17</x:f>
        <x:v>16709.165599410473</x:v>
      </x:c>
    </x:row>
    <x:row r="6">
      <x:c r="A6" s="23" t="str">
        <x:v>Period</x:v>
      </x:c>
      <x:c r="B6" s="64" t="n">
        <x:v>1</x:v>
      </x:c>
      <x:c r="C6" s="64" t="n">
        <x:v>2</x:v>
      </x:c>
      <x:c r="D6" s="64" t="n">
        <x:v>3</x:v>
      </x:c>
      <x:c r="E6" s="64" t="n">
        <x:v>4</x:v>
      </x:c>
      <x:c r="F6" s="65" t="n">
        <x:v>5</x:v>
      </x:c>
    </x:row>
    <x:row r="7">
      <x:c r="A7" s="23" t="str">
        <x:v>Discount factor</x:v>
      </x:c>
      <x:c r="B7" s="64" t="n">
        <x:f>1/(1+'Assumptions'!$B$14)^B6</x:f>
        <x:v>0.9049773755656109</x:v>
      </x:c>
      <x:c r="C7" s="64" t="n">
        <x:f>1/(1+'Assumptions'!$B$14)^C6</x:f>
        <x:v>0.8189840502856207</x:v>
      </x:c>
      <x:c r="D7" s="64" t="n">
        <x:f>1/(1+'Assumptions'!$B$14)^D6</x:f>
        <x:v>0.7411620364575753</x:v>
      </x:c>
      <x:c r="E7" s="64" t="n">
        <x:f>1/(1+'Assumptions'!$B$14)^E6</x:f>
        <x:v>0.6707348746222401</x:v>
      </x:c>
      <x:c r="F7" s="65" t="n">
        <x:f>1/(1+'Assumptions'!$B$14)^F6</x:f>
        <x:v>0.6069998865359639</x:v>
      </x:c>
    </x:row>
    <x:row r="8">
      <x:c r="A8" s="23" t="str">
        <x:v>PV of FCF</x:v>
      </x:c>
      <x:c r="B8" s="64" t="n">
        <x:f>B5*B7</x:f>
        <x:v>8477.75731069237</x:v>
      </x:c>
      <x:c r="C8" s="64" t="n">
        <x:f>C5*C7</x:f>
        <x:v>9043.65280210479</x:v>
      </x:c>
      <x:c r="D8" s="64" t="n">
        <x:f>D5*D7</x:f>
        <x:v>9532.489533432965</x:v>
      </x:c>
      <x:c r="E8" s="64" t="n">
        <x:f>E5*E7</x:f>
        <x:v>9888.722625009366</x:v>
      </x:c>
      <x:c r="F8" s="65" t="n">
        <x:f>F5*F7</x:f>
        <x:v>10142.46162295279</x:v>
      </x:c>
    </x:row>
    <x:row r="9">
      <x:c r="A9" s="26" t="str">
        <x:v>Cumulative PV</x:v>
      </x:c>
      <x:c r="B9" s="66" t="n">
        <x:f>B8</x:f>
        <x:v>8477.75731069237</x:v>
      </x:c>
      <x:c r="C9" s="66" t="n">
        <x:f>B9+C8</x:f>
        <x:v>17521.41011279716</x:v>
      </x:c>
      <x:c r="D9" s="66" t="n">
        <x:f>C9+D8</x:f>
        <x:v>27053.899646230122</x:v>
      </x:c>
      <x:c r="E9" s="66" t="n">
        <x:f>D9+E8</x:f>
        <x:v>36942.62227123949</x:v>
      </x:c>
      <x:c r="F9" s="67" t="n">
        <x:f>E9+F8</x:f>
        <x:v>47085.08389419228</x:v>
      </x:c>
    </x:row>
    <x:row r="12">
      <x:c r="A12" s="20" t="str">
        <x:v>Valuation bridge</x:v>
      </x:c>
      <x:c r="B12" s="22" t="str">
        <x:v>Value</x:v>
      </x:c>
    </x:row>
    <x:row r="13">
      <x:c r="A13" s="23" t="str">
        <x:v>PV of explicit FCF</x:v>
      </x:c>
      <x:c r="B13" s="65" t="n">
        <x:f>SUM(B8:F8)</x:f>
        <x:v>47085.08389419228</x:v>
      </x:c>
    </x:row>
    <x:row r="14">
      <x:c r="A14" s="23" t="str">
        <x:v>Terminal FCF</x:v>
      </x:c>
      <x:c r="B14" s="65" t="n">
        <x:f>F5*(1+'Assumptions'!B15)</x:f>
        <x:v>17377.532223386894</x:v>
      </x:c>
    </x:row>
    <x:row r="15">
      <x:c r="A15" s="23" t="str">
        <x:v>Terminal value</x:v>
      </x:c>
      <x:c r="B15" s="65" t="n">
        <x:f>B14/('Assumptions'!B14-'Assumptions'!B15)</x:f>
        <x:v>267346.64959056757</x:v>
      </x:c>
    </x:row>
    <x:row r="16">
      <x:c r="A16" s="23" t="str">
        <x:v>PV of terminal value</x:v>
      </x:c>
      <x:c r="B16" s="65" t="n">
        <x:f>B15*F7</x:f>
        <x:v>162279.38596724463</x:v>
      </x:c>
    </x:row>
    <x:row r="17">
      <x:c r="A17" s="23" t="str">
        <x:v>Enterprise value</x:v>
      </x:c>
      <x:c r="B17" s="65" t="n">
        <x:f>B13+B16</x:f>
        <x:v>209364.4698614369</x:v>
      </x:c>
    </x:row>
    <x:row r="18">
      <x:c r="A18" s="23" t="str">
        <x:v>Net cash</x:v>
      </x:c>
      <x:c r="B18" s="65" t="n">
        <x:f>'Assumptions'!B16</x:f>
        <x:v>10000</x:v>
      </x:c>
    </x:row>
    <x:row r="19">
      <x:c r="A19" s="23" t="str">
        <x:v>Equity value</x:v>
      </x:c>
      <x:c r="B19" s="65" t="n">
        <x:f>B17+B18</x:f>
        <x:v>219364.4698614369</x:v>
      </x:c>
    </x:row>
    <x:row r="20">
      <x:c r="A20" s="23" t="str">
        <x:v>Diluted shares (m)</x:v>
      </x:c>
      <x:c r="B20" s="65" t="n">
        <x:f>'Assumptions'!B17</x:f>
        <x:v>1797.5</x:v>
      </x:c>
    </x:row>
    <x:row r="21">
      <x:c r="A21" s="68" t="str">
        <x:v>Intrinsic value / share (VND)</x:v>
      </x:c>
      <x:c r="B21" s="69" t="n">
        <x:f>B19/B20*1000</x:f>
        <x:v>122038.64804530564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DCF SENSITIVITY — INTRINSIC VALUE PER SHARE (VND)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20" t="str">
        <x:v>WACC / Terminal growth</x:v>
      </x:c>
      <x:c r="B4" s="71" t="n">
        <x:v>0.03</x:v>
      </x:c>
      <x:c r="C4" s="71" t="n">
        <x:v>0.035</x:v>
      </x:c>
      <x:c r="D4" s="71" t="n">
        <x:v>0.04</x:v>
      </x:c>
      <x:c r="E4" s="71" t="n">
        <x:v>0.045</x:v>
      </x:c>
      <x:c r="F4" s="72" t="n">
        <x:v>0.05</x:v>
      </x:c>
    </x:row>
    <x:row r="5">
      <x:c r="A5" s="73" t="n">
        <x:v>0.095</x:v>
      </x:c>
      <x:c r="B5" s="33" t="n">
        <x:f>(SUMPRODUCT('DCF'!$B$5:$F$5,1/(1+$A5)^'DCF'!$B$6:$F$6)+('DCF'!$F$5*(1+B$4)/($A5-B$4))/(1+$A5)^'DCF'!$F$6+'Assumptions'!$B$16)/'Assumptions'!$B$17*1000</x:f>
        <x:v>126076.7270143394</x:v>
      </x:c>
      <x:c r="C5" s="33" t="n">
        <x:f>(SUMPRODUCT('DCF'!$B$5:$F$5,1/(1+$A5)^'DCF'!$B$6:$F$6)+('DCF'!$F$5*(1+C$4)/($A5-C$4))/(1+$A5)^'DCF'!$F$6+'Assumptions'!$B$16)/'Assumptions'!$B$17*1000</x:f>
        <x:v>134366.35010660504</x:v>
      </x:c>
      <x:c r="D5" s="33" t="n">
        <x:f>(SUMPRODUCT('DCF'!$B$5:$F$5,1/(1+$A5)^'DCF'!$B$6:$F$6)+('DCF'!$F$5*(1+D$4)/($A5-D$4))/(1+$A5)^'DCF'!$F$6+'Assumptions'!$B$16)/'Assumptions'!$B$17*1000</x:f>
        <x:v>144163.17739746446</x:v>
      </x:c>
      <x:c r="E5" s="33" t="n">
        <x:f>(SUMPRODUCT('DCF'!$B$5:$F$5,1/(1+$A5)^'DCF'!$B$6:$F$6)+('DCF'!$F$5*(1+E$4)/($A5-E$4))/(1+$A5)^'DCF'!$F$6+'Assumptions'!$B$16)/'Assumptions'!$B$17*1000</x:f>
        <x:v>155919.3701464957</x:v>
      </x:c>
      <x:c r="F5" s="34" t="n">
        <x:f>(SUMPRODUCT('DCF'!$B$5:$F$5,1/(1+$A5)^'DCF'!$B$6:$F$6)+('DCF'!$F$5*(1+F$4)/($A5-F$4))/(1+$A5)^'DCF'!$F$6+'Assumptions'!$B$16)/'Assumptions'!$B$17*1000</x:f>
        <x:v>170288.05017308955</x:v>
      </x:c>
    </x:row>
    <x:row r="6">
      <x:c r="A6" s="73" t="n">
        <x:v>0.1</x:v>
      </x:c>
      <x:c r="B6" s="33" t="n">
        <x:f>(SUMPRODUCT('DCF'!$B$5:$F$5,1/(1+$A6)^'DCF'!$B$6:$F$6)+('DCF'!$F$5*(1+B$4)/($A6-B$4))/(1+$A6)^'DCF'!$F$6+'Assumptions'!$B$16)/'Assumptions'!$B$17*1000</x:f>
        <x:v>117058.18737708338</x:v>
      </x:c>
      <x:c r="C6" s="33" t="n">
        <x:f>(SUMPRODUCT('DCF'!$B$5:$F$5,1/(1+$A6)^'DCF'!$B$6:$F$6)+('DCF'!$F$5*(1+C$4)/($A6-C$4))/(1+$A6)^'DCF'!$F$6+'Assumptions'!$B$16)/'Assumptions'!$B$17*1000</x:f>
        <x:v>124035.26783518026</x:v>
      </x:c>
      <x:c r="D6" s="33" t="n">
        <x:f>(SUMPRODUCT('DCF'!$B$5:$F$5,1/(1+$A6)^'DCF'!$B$6:$F$6)+('DCF'!$F$5*(1+D$4)/($A6-D$4))/(1+$A6)^'DCF'!$F$6+'Assumptions'!$B$16)/'Assumptions'!$B$17*1000</x:f>
        <x:v>132175.1950362933</x:v>
      </x:c>
      <x:c r="E6" s="33" t="n">
        <x:f>(SUMPRODUCT('DCF'!$B$5:$F$5,1/(1+$A6)^'DCF'!$B$6:$F$6)+('DCF'!$F$5*(1+E$4)/($A6-E$4))/(1+$A6)^'DCF'!$F$6+'Assumptions'!$B$16)/'Assumptions'!$B$17*1000</x:f>
        <x:v>141795.109001245</x:v>
      </x:c>
      <x:c r="F6" s="34" t="n">
        <x:f>(SUMPRODUCT('DCF'!$B$5:$F$5,1/(1+$A6)^'DCF'!$B$6:$F$6)+('DCF'!$F$5*(1+F$4)/($A6-F$4))/(1+$A6)^'DCF'!$F$6+'Assumptions'!$B$16)/'Assumptions'!$B$17*1000</x:f>
        <x:v>153339.00575918713</x:v>
      </x:c>
    </x:row>
    <x:row r="7">
      <x:c r="A7" s="73" t="n">
        <x:v>0.105</x:v>
      </x:c>
      <x:c r="B7" s="33" t="n">
        <x:f>(SUMPRODUCT('DCF'!$B$5:$F$5,1/(1+$A7)^'DCF'!$B$6:$F$6)+('DCF'!$F$5*(1+B$4)/($A7-B$4))/(1+$A7)^'DCF'!$F$6+'Assumptions'!$B$16)/'Assumptions'!$B$17*1000</x:f>
        <x:v>109248.89579012178</x:v>
      </x:c>
      <x:c r="C7" s="33" t="n">
        <x:f>(SUMPRODUCT('DCF'!$B$5:$F$5,1/(1+$A7)^'DCF'!$B$6:$F$6)+('DCF'!$F$5*(1+C$4)/($A7-C$4))/(1+$A7)^'DCF'!$F$6+'Assumptions'!$B$16)/'Assumptions'!$B$17*1000</x:f>
        <x:v>115186.99505145714</x:v>
      </x:c>
      <x:c r="D7" s="33" t="n">
        <x:f>(SUMPRODUCT('DCF'!$B$5:$F$5,1/(1+$A7)^'DCF'!$B$6:$F$6)+('DCF'!$F$5*(1+D$4)/($A7-D$4))/(1+$A7)^'DCF'!$F$6+'Assumptions'!$B$16)/'Assumptions'!$B$17*1000</x:f>
        <x:v>122038.64804530564</x:v>
      </x:c>
      <x:c r="E7" s="33" t="n">
        <x:f>(SUMPRODUCT('DCF'!$B$5:$F$5,1/(1+$A7)^'DCF'!$B$6:$F$6)+('DCF'!$F$5*(1+E$4)/($A7-E$4))/(1+$A7)^'DCF'!$F$6+'Assumptions'!$B$16)/'Assumptions'!$B$17*1000</x:f>
        <x:v>130032.24320479552</x:v>
      </x:c>
      <x:c r="F7" s="34" t="n">
        <x:f>(SUMPRODUCT('DCF'!$B$5:$F$5,1/(1+$A7)^'DCF'!$B$6:$F$6)+('DCF'!$F$5*(1+F$4)/($A7-F$4))/(1+$A7)^'DCF'!$F$6+'Assumptions'!$B$16)/'Assumptions'!$B$17*1000</x:f>
        <x:v>139479.21930237455</x:v>
      </x:c>
    </x:row>
    <x:row r="8">
      <x:c r="A8" s="73" t="n">
        <x:v>0.11</x:v>
      </x:c>
      <x:c r="B8" s="33" t="n">
        <x:f>(SUMPRODUCT('DCF'!$B$5:$F$5,1/(1+$A8)^'DCF'!$B$6:$F$6)+('DCF'!$F$5*(1+B$4)/($A8-B$4))/(1+$A8)^'DCF'!$F$6+'Assumptions'!$B$16)/'Assumptions'!$B$17*1000</x:f>
        <x:v>102421.97053469154</x:v>
      </x:c>
      <x:c r="C8" s="33" t="n">
        <x:f>(SUMPRODUCT('DCF'!$B$5:$F$5,1/(1+$A8)^'DCF'!$B$6:$F$6)+('DCF'!$F$5*(1+C$4)/($A8-C$4))/(1+$A8)^'DCF'!$F$6+'Assumptions'!$B$16)/'Assumptions'!$B$17*1000</x:f>
        <x:v>107524.81936753799</x:v>
      </x:c>
      <x:c r="D8" s="33" t="n">
        <x:f>(SUMPRODUCT('DCF'!$B$5:$F$5,1/(1+$A8)^'DCF'!$B$6:$F$6)+('DCF'!$F$5*(1+D$4)/($A8-D$4))/(1+$A8)^'DCF'!$F$6+'Assumptions'!$B$16)/'Assumptions'!$B$17*1000</x:f>
        <x:v>113356.64660507679</x:v>
      </x:c>
      <x:c r="E8" s="33" t="n">
        <x:f>(SUMPRODUCT('DCF'!$B$5:$F$5,1/(1+$A8)^'DCF'!$B$6:$F$6)+('DCF'!$F$5*(1+E$4)/($A8-E$4))/(1+$A8)^'DCF'!$F$6+'Assumptions'!$B$16)/'Assumptions'!$B$17*1000</x:f>
        <x:v>120085.67803300614</x:v>
      </x:c>
      <x:c r="F8" s="34" t="n">
        <x:f>(SUMPRODUCT('DCF'!$B$5:$F$5,1/(1+$A8)^'DCF'!$B$6:$F$6)+('DCF'!$F$5*(1+F$4)/($A8-F$4))/(1+$A8)^'DCF'!$F$6+'Assumptions'!$B$16)/'Assumptions'!$B$17*1000</x:f>
        <x:v>127936.21469892378</x:v>
      </x:c>
    </x:row>
    <x:row r="9">
      <x:c r="A9" s="74" t="n">
        <x:v>0.115</x:v>
      </x:c>
      <x:c r="B9" s="75" t="n">
        <x:f>(SUMPRODUCT('DCF'!$B$5:$F$5,1/(1+$A9)^'DCF'!$B$6:$F$6)+('DCF'!$F$5*(1+B$4)/($A9-B$4))/(1+$A9)^'DCF'!$F$6+'Assumptions'!$B$16)/'Assumptions'!$B$17*1000</x:f>
        <x:v>96403.91776144599</x:v>
      </x:c>
      <x:c r="C9" s="75" t="n">
        <x:f>(SUMPRODUCT('DCF'!$B$5:$F$5,1/(1+$A9)^'DCF'!$B$6:$F$6)+('DCF'!$F$5*(1+C$4)/($A9-C$4))/(1+$A9)^'DCF'!$F$6+'Assumptions'!$B$16)/'Assumptions'!$B$17*1000</x:f>
        <x:v>100826.21048413966</x:v>
      </x:c>
      <x:c r="D9" s="75" t="n">
        <x:f>(SUMPRODUCT('DCF'!$B$5:$F$5,1/(1+$A9)^'DCF'!$B$6:$F$6)+('DCF'!$F$5*(1+D$4)/($A9-D$4))/(1+$A9)^'DCF'!$F$6+'Assumptions'!$B$16)/'Assumptions'!$B$17*1000</x:f>
        <x:v>105838.14223652585</x:v>
      </x:c>
      <x:c r="E9" s="75" t="n">
        <x:f>(SUMPRODUCT('DCF'!$B$5:$F$5,1/(1+$A9)^'DCF'!$B$6:$F$6)+('DCF'!$F$5*(1+E$4)/($A9-E$4))/(1+$A9)^'DCF'!$F$6+'Assumptions'!$B$16)/'Assumptions'!$B$17*1000</x:f>
        <x:v>111566.06423925285</x:v>
      </x:c>
      <x:c r="F9" s="76" t="n">
        <x:f>(SUMPRODUCT('DCF'!$B$5:$F$5,1/(1+$A9)^'DCF'!$B$6:$F$6)+('DCF'!$F$5*(1+F$4)/($A9-F$4))/(1+$A9)^'DCF'!$F$6+'Assumptions'!$B$16)/'Assumptions'!$B$17*1000</x:f>
        <x:v>118175.20501163023</x:v>
      </x:c>
    </x:row>
  </x:sheetData>
  <x:mergeCells>
    <x:mergeCell ref="A1:G2"/>
  </x:mergeCells>
  <x:conditionalFormatting sqref="B5:F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MODEL CHECKS &amp; AUDIT CONTROLS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20" t="str">
        <x:v>Check</x:v>
      </x:c>
      <x:c r="B4" s="21" t="str">
        <x:v>Actual</x:v>
      </x:c>
      <x:c r="C4" s="21" t="str">
        <x:v>Expected</x:v>
      </x:c>
      <x:c r="D4" s="21" t="str">
        <x:v>Difference</x:v>
      </x:c>
      <x:c r="E4" s="21" t="str">
        <x:v>Tolerance</x:v>
      </x:c>
      <x:c r="F4" s="22" t="str">
        <x:v>Status</x:v>
      </x:c>
    </x:row>
    <x:row r="5">
      <x:c r="A5" s="23" t="str">
        <x:v>Historical EBITDA less EBIT equals D&amp;A</x:v>
      </x:c>
      <x:c r="B5" s="39" t="n">
        <x:f>'Historical'!F6-'Historical'!F7</x:f>
        <x:v>2914</x:v>
      </x:c>
      <x:c r="C5" s="39" t="n">
        <x:f>'Historical'!F19</x:f>
        <x:v>2914</x:v>
      </x:c>
      <x:c r="D5" s="39" t="n">
        <x:f>B5-C5</x:f>
        <x:v>0</x:v>
      </x:c>
      <x:c r="E5" s="39" t="n">
        <x:v>0.1</x:v>
      </x:c>
      <x:c r="F5" s="41" t="str">
        <x:f>IF(ABS(D5)&lt;=E5,"PASS","FAIL")</x:f>
        <x:v>PASS</x:v>
      </x:c>
    </x:row>
    <x:row r="6">
      <x:c r="A6" s="23" t="str">
        <x:v>Forecast EBITDA less D&amp;A equals EBIT</x:v>
      </x:c>
      <x:c r="B6" s="39" t="n">
        <x:f>'Operating_Model'!K7-'Operating_Model'!K9</x:f>
        <x:v>24085.193674782247</x:v>
      </x:c>
      <x:c r="C6" s="39" t="n">
        <x:f>'Operating_Model'!K10</x:f>
        <x:v>24085.193674782247</x:v>
      </x:c>
      <x:c r="D6" s="39" t="n">
        <x:f>B6-C6</x:f>
        <x:v>0</x:v>
      </x:c>
      <x:c r="E6" s="39" t="n">
        <x:v>0.1</x:v>
      </x:c>
      <x:c r="F6" s="41" t="str">
        <x:f>IF(ABS(D6)&lt;=E6,"PASS","FAIL")</x:f>
        <x:v>PASS</x:v>
      </x:c>
    </x:row>
    <x:row r="7">
      <x:c r="A7" s="23" t="str">
        <x:v>FCF bridge recomputes</x:v>
      </x:c>
      <x:c r="B7" s="39" t="n">
        <x:f>'Operating_Model'!K13+'Operating_Model'!K9-'Operating_Model'!K14-'Operating_Model'!K16</x:f>
        <x:v>16709.165599410473</x:v>
      </x:c>
      <x:c r="C7" s="39" t="n">
        <x:f>'Operating_Model'!K17</x:f>
        <x:v>16709.165599410473</x:v>
      </x:c>
      <x:c r="D7" s="39" t="n">
        <x:f>B7-C7</x:f>
        <x:v>0</x:v>
      </x:c>
      <x:c r="E7" s="39" t="n">
        <x:v>0.1</x:v>
      </x:c>
      <x:c r="F7" s="41" t="str">
        <x:f>IF(ABS(D7)&lt;=E7,"PASS","FAIL")</x:f>
        <x:v>PASS</x:v>
      </x:c>
    </x:row>
    <x:row r="8">
      <x:c r="A8" s="23" t="str">
        <x:v>Enterprise value bridge</x:v>
      </x:c>
      <x:c r="B8" s="39" t="n">
        <x:f>'DCF'!B13+'DCF'!B16</x:f>
        <x:v>209364.4698614369</x:v>
      </x:c>
      <x:c r="C8" s="39" t="n">
        <x:f>'DCF'!B17</x:f>
        <x:v>209364.4698614369</x:v>
      </x:c>
      <x:c r="D8" s="39" t="n">
        <x:f>B8-C8</x:f>
        <x:v>0</x:v>
      </x:c>
      <x:c r="E8" s="39" t="n">
        <x:v>0.1</x:v>
      </x:c>
      <x:c r="F8" s="41" t="str">
        <x:f>IF(ABS(D8)&lt;=E8,"PASS","FAIL")</x:f>
        <x:v>PASS</x:v>
      </x:c>
    </x:row>
    <x:row r="9">
      <x:c r="A9" s="23" t="str">
        <x:v>Equity value bridge</x:v>
      </x:c>
      <x:c r="B9" s="39" t="n">
        <x:f>'DCF'!B17+'DCF'!B18</x:f>
        <x:v>219364.4698614369</x:v>
      </x:c>
      <x:c r="C9" s="39" t="n">
        <x:f>'DCF'!B19</x:f>
        <x:v>219364.4698614369</x:v>
      </x:c>
      <x:c r="D9" s="39" t="n">
        <x:f>B9-C9</x:f>
        <x:v>0</x:v>
      </x:c>
      <x:c r="E9" s="39" t="n">
        <x:v>0.1</x:v>
      </x:c>
      <x:c r="F9" s="41" t="str">
        <x:f>IF(ABS(D9)&lt;=E9,"PASS","FAIL")</x:f>
        <x:v>PASS</x:v>
      </x:c>
    </x:row>
    <x:row r="10">
      <x:c r="A10" s="26" t="str">
        <x:v>WACC exceeds terminal growth</x:v>
      </x:c>
      <x:c r="B10" s="42" t="n">
        <x:f>'Assumptions'!B14-'Assumptions'!B15</x:f>
        <x:v>0.065</x:v>
      </x:c>
      <x:c r="C10" s="42" t="str">
        <x:v>&gt;0</x:v>
      </x:c>
      <x:c r="D10" s="42" t="n">
        <x:f>B10</x:f>
        <x:v>0.065</x:v>
      </x:c>
      <x:c r="E10" s="42" t="n">
        <x:v>0</x:v>
      </x:c>
      <x:c r="F10" s="44" t="str">
        <x:f>IF(B10&gt;0,"PASS","FAIL")</x:f>
        <x:v>PASS</x:v>
      </x:c>
    </x:row>
    <x:row r="11">
      <x:c r="A11" t="str">
        <x:v>Low-WACC sensitivity corner recomputes</x:v>
      </x:c>
      <x:c r="B11" t="n">
        <x:f>'Sensitivity'!D5</x:f>
        <x:v>144163.17739746446</x:v>
      </x:c>
      <x:c r="C11" t="n">
        <x:f>(SUMPRODUCT('DCF'!$B$5:$F$5,1/(1+'Sensitivity'!$A$5)^'DCF'!$B$6:$F$6)+('DCF'!$F$5*(1+'Sensitivity'!D$4)/('Sensitivity'!$A$5-'Sensitivity'!D$4))/(1+'Sensitivity'!$A$5)^'DCF'!$F$6+'Assumptions'!$B$16)/'Assumptions'!$B$17*1000</x:f>
        <x:v>144163.17739746446</x:v>
      </x:c>
      <x:c r="D11" t="n">
        <x:f>B11-C11</x:f>
        <x:v>0</x:v>
      </x:c>
      <x:c r="E11" t="n">
        <x:v>0.1</x:v>
      </x:c>
      <x:c r="F11" t="str">
        <x:f>IF(ABS(D11)&lt;=E11,"PASS","FAIL")</x:f>
        <x:v>PASS</x:v>
      </x:c>
    </x:row>
    <x:row r="12">
      <x:c r="A12" s="138" t="str">
        <x:v>High-WACC sensitivity corner recomputes</x:v>
      </x:c>
      <x:c r="B12" s="138" t="n">
        <x:f>'Sensitivity'!D9</x:f>
        <x:v>105838.14223652585</x:v>
      </x:c>
      <x:c r="C12" t="n">
        <x:f>(SUMPRODUCT('DCF'!$B$5:$F$5,1/(1+'Sensitivity'!$A$9)^'DCF'!$B$6:$F$6)+('DCF'!$F$5*(1+'Sensitivity'!D$4)/('Sensitivity'!$A$9-'Sensitivity'!D$4))/(1+'Sensitivity'!$A$9)^'DCF'!$F$6+'Assumptions'!$B$16)/'Assumptions'!$B$17*1000</x:f>
        <x:v>105838.14223652585</x:v>
      </x:c>
      <x:c r="D12" t="n">
        <x:f>B12-C12</x:f>
        <x:v>0</x:v>
      </x:c>
      <x:c r="E12" t="n">
        <x:v>0.1</x:v>
      </x:c>
      <x:c r="F12" t="str">
        <x:f>IF(ABS(D12)&lt;=E12,"PASS","FAIL")</x:f>
        <x:v>PASS</x:v>
      </x:c>
    </x:row>
    <x:row r="14">
      <x:c r="A14" t="str">
        <x:v>OVERALL STATUS</x:v>
      </x:c>
      <x:c r="B14" t="str">
        <x:f>IF(COUNTIF(F5:F12,"FAIL")=0,"PASS","FAIL")</x:f>
        <x:v>PASS</x:v>
      </x:c>
      <x:c r="C14"/>
      <x:c r="D14"/>
      <x:c r="E14"/>
      <x:c r="F14"/>
    </x:row>
  </x:sheetData>
  <x:mergeCells>
    <x:mergeCell ref="A1:F2"/>
  </x:mergeCells>
  <x:conditionalFormatting sqref="F5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0" hidden="0" customWidth="1"/>
    <x:col min="3" max="3" width="58" hidden="0" customWidth="1"/>
    <x:col min="4" max="4" width="40" hidden="0" customWidth="1"/>
    <x:col min="5" max="5" width="21" hidden="0" customWidth="1"/>
    <x:col min="6" max="6" width="38" hidden="0" customWidth="1"/>
  </x:cols>
  <x:sheetData>
    <x:row r="1">
      <x:c r="A1" s="3" t="str">
        <x:v>SOURCE LOG &amp; MODEL LIMITATIONS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20" t="str">
        <x:v>ID</x:v>
      </x:c>
      <x:c r="B4" s="21" t="str">
        <x:v>Source</x:v>
      </x:c>
      <x:c r="C4" s="21" t="str">
        <x:v>URL</x:v>
      </x:c>
      <x:c r="D4" s="21" t="str">
        <x:v>Data used</x:v>
      </x:c>
      <x:c r="E4" s="21" t="str">
        <x:v>Accessed</x:v>
      </x:c>
      <x:c r="F4" s="22" t="str">
        <x:v>Notes</x:v>
      </x:c>
    </x:row>
    <x:row r="5">
      <x:c r="A5" s="131" t="str">
        <x:v>S1</x:v>
      </x:c>
      <x:c r="B5" s="132" t="str">
        <x:v>FPT Annual Report 2025</x:v>
      </x:c>
      <x:c r="C5" s="132" t="str">
        <x:v>https://bctn2025.fpt.com/en/business-performance-analysis/overall-evaluation/</x:v>
      </x:c>
      <x:c r="D5" s="132" t="str">
        <x:v>2021–2025 financial highlights and ratios</x:v>
      </x:c>
      <x:c r="E5" s="132" t="str">
        <x:v>2026-08-02</x:v>
      </x:c>
      <x:c r="F5" s="133" t="str">
        <x:v>Official FPT source</x:v>
      </x:c>
    </x:row>
    <x:row r="6">
      <x:c r="A6" s="131" t="str">
        <x:v>S2</x:v>
      </x:c>
      <x:c r="B6" s="132" t="str">
        <x:v>FPT Annual Report 2024</x:v>
      </x:c>
      <x:c r="C6" s="132" t="str">
        <x:v>https://fpt.com/en/ir/report</x:v>
      </x:c>
      <x:c r="D6" s="132" t="str">
        <x:v>2023–2024 comparison and EPS</x:v>
      </x:c>
      <x:c r="E6" s="132" t="str">
        <x:v>2026-08-02</x:v>
      </x:c>
      <x:c r="F6" s="133" t="str">
        <x:v>Official FPT investor relations</x:v>
      </x:c>
    </x:row>
    <x:row r="7">
      <x:c r="A7" s="131" t="str">
        <x:v>S3</x:v>
      </x:c>
      <x:c r="B7" s="132" t="str">
        <x:v>FPT FY2025 business results</x:v>
      </x:c>
      <x:c r="C7" s="132" t="str">
        <x:v>https://fpt.com/en/news/fpt-news/fpt-reports-revenue-of-vnd-70-113-billion-profit-before-tax-up-17-8-percent</x:v>
      </x:c>
      <x:c r="D7" s="132" t="str">
        <x:v>FY2025 performance and segment context</x:v>
      </x:c>
      <x:c r="E7" s="132" t="str">
        <x:v>2026-08-02</x:v>
      </x:c>
      <x:c r="F7" s="133" t="str">
        <x:v>Official FPT release</x:v>
      </x:c>
    </x:row>
    <x:row r="8">
      <x:c r="A8" s="131" t="str">
        <x:v>S4</x:v>
      </x:c>
      <x:c r="B8" s="132" t="str">
        <x:v>FPT Q1 2026 results</x:v>
      </x:c>
      <x:c r="C8" s="132" t="str">
        <x:v>https://fpt.com/en/news/fpt-news/fpt-records-positive-business-results-in-q1-2026</x:v>
      </x:c>
      <x:c r="D8" s="132" t="str">
        <x:v>2026 FPT Telecom equity-method comparability note</x:v>
      </x:c>
      <x:c r="E8" s="132" t="str">
        <x:v>2026-08-02</x:v>
      </x:c>
      <x:c r="F8" s="133" t="str">
        <x:v>Official FPT release</x:v>
      </x:c>
    </x:row>
    <x:row r="9">
      <x:c r="A9" s="131" t="str">
        <x:v>M1</x:v>
      </x:c>
      <x:c r="B9" s="132" t="str">
        <x:v>Analyst assumptions</x:v>
      </x:c>
      <x:c r="C9" s="132" t="str">
        <x:v>Assumptions sheet</x:v>
      </x:c>
      <x:c r="D9" s="132" t="str">
        <x:v>Forecast drivers, WACC, terminal growth, capex and net cash</x:v>
      </x:c>
      <x:c r="E9" s="132" t="str">
        <x:v>2026-08-02</x:v>
      </x:c>
      <x:c r="F9" s="133" t="str">
        <x:v>Illustrative; replace with diligence inputs</x:v>
      </x:c>
    </x:row>
    <x:row r="10">
      <x:c r="A10" s="134" t="str">
        <x:v>M2</x:v>
      </x:c>
      <x:c r="B10" s="135" t="str">
        <x:v>Derived share count</x:v>
      </x:c>
      <x:c r="C10" s="135" t="str">
        <x:v>NPAT-MI / EPS</x:v>
      </x:c>
      <x:c r="D10" s="135" t="str">
        <x:v>Approx. diluted shares = VND 9,376bn / VND 5,216</x:v>
      </x:c>
      <x:c r="E10" s="135" t="str">
        <x:v>2026-08-02</x:v>
      </x:c>
      <x:c r="F10" s="136" t="str">
        <x:v>Rounded derived value</x:v>
      </x:c>
    </x:row>
  </x:sheetData>
  <x:mergeCells>
    <x:mergeCell ref="A1:F2"/>
  </x:mergeCells>
  <x:pageMargins left="0.7" right="0.7" top="0.75" bottom="0.75" header="0.3" footer="0.3"/>
</x:worksheet>
</file>