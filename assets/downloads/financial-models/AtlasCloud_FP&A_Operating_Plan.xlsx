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2a4b92693d40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865a06c9ab04649"/>
    <x:sheet xmlns:r="http://schemas.openxmlformats.org/officeDocument/2006/relationships" name="Dashboard" sheetId="2" r:id="R8a94a977134f4ee4"/>
    <x:sheet xmlns:r="http://schemas.openxmlformats.org/officeDocument/2006/relationships" name="Assumptions" sheetId="3" r:id="Ra7fb0ae6294041c0"/>
    <x:sheet xmlns:r="http://schemas.openxmlformats.org/officeDocument/2006/relationships" name="Revenue_Plan" sheetId="4" r:id="Ra92079374bd64a04"/>
    <x:sheet xmlns:r="http://schemas.openxmlformats.org/officeDocument/2006/relationships" name="Headcount" sheetId="5" r:id="Rc1f082e1ca3e4be7"/>
    <x:sheet xmlns:r="http://schemas.openxmlformats.org/officeDocument/2006/relationships" name="Opex" sheetId="6" r:id="R20d104571e45444a"/>
    <x:sheet xmlns:r="http://schemas.openxmlformats.org/officeDocument/2006/relationships" name="Monthly_PnL" sheetId="7" r:id="R3abf5db987fc469f"/>
    <x:sheet xmlns:r="http://schemas.openxmlformats.org/officeDocument/2006/relationships" name="Variance" sheetId="8" r:id="R14614648feb64dde"/>
    <x:sheet xmlns:r="http://schemas.openxmlformats.org/officeDocument/2006/relationships" name="Scenarios" sheetId="9" r:id="R52a59192e3204ea2"/>
    <x:sheet xmlns:r="http://schemas.openxmlformats.org/officeDocument/2006/relationships" name="Cash_Forecast" sheetId="10" r:id="R31e11487fb694b57"/>
    <x:sheet xmlns:r="http://schemas.openxmlformats.org/officeDocument/2006/relationships" name="Checks" sheetId="11" r:id="Raef8119f7f4f487b"/>
    <x:sheet xmlns:r="http://schemas.openxmlformats.org/officeDocument/2006/relationships" name="Sources" sheetId="12" r:id="Rdd142c5c471c4b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$#,##0"/>
    <x:numFmt numFmtId="202" formatCode="0.0%"/>
    <x:numFmt numFmtId="203" formatCode="#0"/>
    <x:numFmt numFmtId="204" formatCode="$#,##0.0;[Red]($#,##0.0);-"/>
    <x:numFmt numFmtId="205" formatCode="$#,##0.0"/>
    <x:numFmt numFmtId="206" formatCode="$#,##0;[Red]($#,##0);-"/>
  </x:numFmts>
  <x:fonts count="8">
    <x:font>
      <x:sz val="11"/>
      <x:name val="Carlito"/>
    </x:font>
    <x:font>
      <x:b/>
      <x:sz val="19"/>
      <x:color rgb="FFFFFFFF"/>
      <x:name val="Carlito"/>
    </x:font>
    <x:font>
      <x:sz val="13"/>
      <x:color rgb="FF0A2540"/>
      <x:name val="Carlito"/>
    </x:font>
    <x:font>
      <x:b/>
      <x:sz val="11"/>
      <x:color rgb="FFFFFFFF"/>
      <x:name val="Carlito"/>
    </x:font>
    <x:font>
      <x:sz val="11"/>
      <x:color rgb="FF0A2540"/>
      <x:name val="Carlito"/>
    </x:font>
    <x:font>
      <x:b/>
      <x:sz val="11"/>
      <x:color rgb="FF0A2540"/>
      <x:name val="Carlito"/>
    </x:font>
    <x:font>
      <x:b/>
      <x:sz val="18"/>
      <x:color rgb="FF0A2540"/>
      <x:name val="Carlito"/>
    </x:font>
    <x:font>
      <x:b/>
      <x:sz val="14"/>
      <x:color rgb="FF126A2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A2540"/>
      </x:patternFill>
    </x:fill>
    <x:fill>
      <x:patternFill patternType="solid">
        <x:fgColor rgb="FFEAF6FA"/>
      </x:patternFill>
    </x:fill>
    <x:fill>
      <x:patternFill patternType="solid">
        <x:fgColor rgb="FF146C94"/>
      </x:patternFill>
    </x:fill>
    <x:fill>
      <x:patternFill patternType="solid">
        <x:fgColor rgb="FFF8FAFC"/>
      </x:patternFill>
    </x:fill>
    <x:fill>
      <x:patternFill patternType="solid">
        <x:fgColor rgb="FFFFF8E1"/>
      </x:patternFill>
    </x:fill>
    <x:fill>
      <x:patternFill patternType="solid">
        <x:fgColor rgb="FFFFF2CC"/>
      </x:patternFill>
    </x:fill>
    <x:fill>
      <x:patternFill patternType="solid">
        <x:fgColor rgb="FFF7FBFC"/>
      </x:patternFill>
    </x:fill>
    <x:fill>
      <x:patternFill patternType="solid">
        <x:fgColor rgb="FFDDF3E4"/>
      </x:patternFill>
    </x:fill>
  </x:fills>
  <x:borders count="20">
    <x:border/>
    <x:border>
      <x:right style="thin">
        <x:color rgb="FFD2DEE6"/>
      </x:right>
      <x:bottom style="thin">
        <x:color rgb="FFD2DEE6"/>
      </x:bottom>
    </x:border>
    <x:border>
      <x:left style="thin">
        <x:color rgb="FFD2DEE6"/>
      </x:left>
      <x:bottom style="thin">
        <x:color rgb="FFD2DEE6"/>
      </x:bottom>
    </x:border>
    <x:border>
      <x:right style="thin">
        <x:color rgb="FFD2DEE6"/>
      </x:right>
      <x:top style="thin">
        <x:color rgb="FFD2DEE6"/>
      </x:top>
      <x:bottom style="thin">
        <x:color rgb="FFD2DEE6"/>
      </x:bottom>
    </x:border>
    <x:border>
      <x:left style="thin">
        <x:color rgb="FFD2DEE6"/>
      </x:left>
      <x:top style="thin">
        <x:color rgb="FFD2DEE6"/>
      </x:top>
      <x:bottom style="thin">
        <x:color rgb="FFD2DEE6"/>
      </x:bottom>
    </x:border>
    <x:border>
      <x:right style="thin">
        <x:color rgb="FFD2DEE6"/>
      </x:right>
      <x:top style="thin">
        <x:color rgb="FFD2DEE6"/>
      </x:top>
    </x:border>
    <x:border>
      <x:left style="thin">
        <x:color rgb="FFD2DEE6"/>
      </x:left>
      <x:top style="thin">
        <x:color rgb="FFD2DEE6"/>
      </x:top>
    </x:border>
    <x:border>
      <x:left style="thin">
        <x:color rgb="FFD2DEE6"/>
      </x:left>
      <x:right style="thin">
        <x:color rgb="FFD2DEE6"/>
      </x:right>
      <x:bottom style="thin">
        <x:color rgb="FFD2DEE6"/>
      </x:bottom>
    </x:border>
    <x:border>
      <x:left style="thin">
        <x:color rgb="FFD2DEE6"/>
      </x:left>
      <x:right style="thin">
        <x:color rgb="FFD2DEE6"/>
      </x:right>
      <x:top style="thin">
        <x:color rgb="FFD2DEE6"/>
      </x:top>
      <x:bottom style="thin">
        <x:color rgb="FFD2DEE6"/>
      </x:bottom>
    </x:border>
    <x:border>
      <x:left style="thin">
        <x:color rgb="FFD2DEE6"/>
      </x:left>
      <x:right style="thin">
        <x:color rgb="FFD2DEE6"/>
      </x:right>
      <x:top style="thin">
        <x:color rgb="FFD2DEE6"/>
      </x:top>
    </x:border>
    <x:border>
      <x:bottom style="double">
        <x:color rgb="FF0A2540"/>
      </x:bottom>
    </x:border>
    <x:border>
      <x:right style="medium">
        <x:color rgb="FFFFD166"/>
      </x:right>
    </x:border>
    <x:border>
      <x:left style="thin">
        <x:color rgb="FFB6C6D1"/>
      </x:left>
      <x:top style="thin">
        <x:color rgb="FFB6C6D1"/>
      </x:top>
    </x:border>
    <x:border>
      <x:top style="thin">
        <x:color rgb="FFB6C6D1"/>
      </x:top>
    </x:border>
    <x:border>
      <x:right style="thin">
        <x:color rgb="FFB6C6D1"/>
      </x:right>
      <x:top style="thin">
        <x:color rgb="FFB6C6D1"/>
      </x:top>
    </x:border>
    <x:border>
      <x:left style="thin">
        <x:color rgb="FFB6C6D1"/>
      </x:left>
    </x:border>
    <x:border>
      <x:right style="thin">
        <x:color rgb="FFB6C6D1"/>
      </x:right>
    </x:border>
    <x:border>
      <x:left style="thin">
        <x:color rgb="FFB6C6D1"/>
      </x:left>
      <x:bottom style="thin">
        <x:color rgb="FFB6C6D1"/>
      </x:bottom>
    </x:border>
    <x:border>
      <x:bottom style="thin">
        <x:color rgb="FFB6C6D1"/>
      </x:bottom>
    </x:border>
    <x:border>
      <x:right style="thin">
        <x:color rgb="FFB6C6D1"/>
      </x:right>
      <x:bottom style="thin">
        <x:color rgb="FFB6C6D1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7" borderId="4" xfId="0" applyNumberFormat="1" applyFont="1" applyFill="1" applyBorder="1"/>
    <x:xf numFmtId="200" fontId="0" fillId="7" borderId="4" xfId="0" applyNumberFormat="1" applyFont="1" applyFill="1" applyBorder="1"/>
    <x:xf numFmtId="201" fontId="0" fillId="7" borderId="4" xfId="0" applyNumberFormat="1" applyFont="1" applyFill="1" applyBorder="1"/>
    <x:xf numFmtId="0" fontId="0" fillId="0" borderId="5" xfId="0" applyNumberFormat="1" applyFont="1" applyFill="1" applyBorder="1"/>
    <x:xf numFmtId="201" fontId="0" fillId="7" borderId="6" xfId="0" applyNumberFormat="1" applyFont="1" applyFill="1" applyBorder="1"/>
    <x:xf numFmtId="202" fontId="0" fillId="0" borderId="0" xfId="0" applyNumberFormat="1" applyFont="1" applyFill="1" applyBorder="1"/>
    <x:xf numFmtId="202" fontId="0" fillId="7" borderId="0" xfId="0" applyNumberFormat="1" applyFont="1" applyFill="1" applyBorder="1"/>
    <x:xf numFmtId="0" fontId="3" fillId="4" borderId="7" xfId="0" applyNumberFormat="1" applyFont="1" applyFill="1" applyBorder="1" applyAlignment="1">
      <x:alignment horizontal="center" vertical="center" wrapText="1"/>
    </x:xf>
    <x:xf numFmtId="202" fontId="0" fillId="7" borderId="8" xfId="0" applyNumberFormat="1" applyFont="1" applyFill="1" applyBorder="1"/>
    <x:xf numFmtId="202" fontId="0" fillId="7" borderId="4" xfId="0" applyNumberFormat="1" applyFont="1" applyFill="1" applyBorder="1"/>
    <x:xf numFmtId="202" fontId="0" fillId="7" borderId="9" xfId="0" applyNumberFormat="1" applyFont="1" applyFill="1" applyBorder="1"/>
    <x:xf numFmtId="202" fontId="0" fillId="7" borderId="6" xfId="0" applyNumberFormat="1" applyFont="1" applyFill="1" applyBorder="1"/>
    <x:xf numFmtId="201" fontId="0" fillId="7" borderId="8" xfId="0" applyNumberFormat="1" applyFont="1" applyFill="1" applyBorder="1"/>
    <x:xf numFmtId="0" fontId="0" fillId="0" borderId="4" xfId="0" applyNumberFormat="1" applyFont="1" applyFill="1" applyBorder="1"/>
    <x:xf numFmtId="201" fontId="0" fillId="7" borderId="9" xfId="0" applyNumberFormat="1" applyFont="1" applyFill="1" applyBorder="1"/>
    <x:xf numFmtId="0" fontId="0" fillId="0" borderId="6" xfId="0" applyNumberFormat="1" applyFont="1" applyFill="1" applyBorder="1"/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3" xfId="0" applyNumberFormat="1" applyFont="1" applyFill="1" applyBorder="1"/>
    <x:xf numFmtId="0" fontId="0" fillId="0" borderId="8" xfId="0" applyNumberFormat="1" applyFont="1" applyFill="1" applyBorder="1"/>
    <x:xf numFmtId="203" fontId="0" fillId="0" borderId="8" xfId="0" applyNumberFormat="1" applyFont="1" applyFill="1" applyBorder="1"/>
    <x:xf numFmtId="201" fontId="0" fillId="0" borderId="8" xfId="0" applyNumberFormat="1" applyFont="1" applyFill="1" applyBorder="1"/>
    <x:xf numFmtId="204" fontId="0" fillId="0" borderId="8" xfId="0" applyNumberFormat="1" applyFont="1" applyFill="1" applyBorder="1"/>
    <x:xf numFmtId="204" fontId="0" fillId="0" borderId="4" xfId="0" applyNumberFormat="1" applyFont="1" applyFill="1" applyBorder="1"/>
    <x:xf numFmtId="200" fontId="0" fillId="0" borderId="5" xfId="0" applyNumberFormat="1" applyFont="1" applyFill="1" applyBorder="1"/>
    <x:xf numFmtId="0" fontId="0" fillId="0" borderId="9" xfId="0" applyNumberFormat="1" applyFont="1" applyFill="1" applyBorder="1"/>
    <x:xf numFmtId="203" fontId="0" fillId="0" borderId="9" xfId="0" applyNumberFormat="1" applyFont="1" applyFill="1" applyBorder="1"/>
    <x:xf numFmtId="201" fontId="0" fillId="0" borderId="9" xfId="0" applyNumberFormat="1" applyFont="1" applyFill="1" applyBorder="1"/>
    <x:xf numFmtId="204" fontId="0" fillId="0" borderId="9" xfId="0" applyNumberFormat="1" applyFont="1" applyFill="1" applyBorder="1"/>
    <x:xf numFmtId="204" fontId="0" fillId="0" borderId="6" xfId="0" applyNumberFormat="1" applyFont="1" applyFill="1" applyBorder="1"/>
    <x:xf numFmtId="205" fontId="0" fillId="7" borderId="0" xfId="0" applyNumberFormat="1" applyFont="1" applyFill="1" applyBorder="1"/>
    <x:xf numFmtId="205" fontId="0" fillId="0" borderId="0" xfId="0" applyNumberFormat="1" applyFont="1" applyFill="1" applyBorder="1"/>
    <x:xf numFmtId="205" fontId="0" fillId="3" borderId="0" xfId="0" applyNumberFormat="1" applyFont="1" applyFill="1" applyBorder="1"/>
    <x:xf numFmtId="0" fontId="5" fillId="3" borderId="0" xfId="0" applyNumberFormat="1" applyFont="1" applyFill="1" applyBorder="1"/>
    <x:xf numFmtId="205" fontId="5" fillId="3" borderId="0" xfId="0" applyNumberFormat="1" applyFont="1" applyFill="1" applyBorder="1"/>
    <x:xf numFmtId="0" fontId="5" fillId="3" borderId="10" xfId="0" applyNumberFormat="1" applyFont="1" applyFill="1" applyBorder="1"/>
    <x:xf numFmtId="205" fontId="5" fillId="3" borderId="10" xfId="0" applyNumberFormat="1" applyFont="1" applyFill="1" applyBorder="1"/>
    <x:xf numFmtId="0" fontId="0" fillId="7" borderId="8" xfId="0" applyNumberFormat="1" applyFont="1" applyFill="1" applyBorder="1"/>
    <x:xf numFmtId="205" fontId="0" fillId="7" borderId="8" xfId="0" applyNumberFormat="1" applyFont="1" applyFill="1" applyBorder="1"/>
    <x:xf numFmtId="205" fontId="0" fillId="0" borderId="4" xfId="0" applyNumberFormat="1" applyFont="1" applyFill="1" applyBorder="1"/>
    <x:xf numFmtId="0" fontId="0" fillId="7" borderId="9" xfId="0" applyNumberFormat="1" applyFont="1" applyFill="1" applyBorder="1"/>
    <x:xf numFmtId="205" fontId="0" fillId="7" borderId="9" xfId="0" applyNumberFormat="1" applyFont="1" applyFill="1" applyBorder="1"/>
    <x:xf numFmtId="205" fontId="0" fillId="0" borderId="6" xfId="0" applyNumberFormat="1" applyFont="1" applyFill="1" applyBorder="1"/>
    <x:xf numFmtId="206" fontId="0" fillId="7" borderId="0" xfId="0" applyNumberFormat="1" applyFont="1" applyFill="1" applyBorder="1"/>
    <x:xf numFmtId="206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6" fontId="0" fillId="3" borderId="0" xfId="0" applyNumberFormat="1" applyFont="1" applyFill="1" applyBorder="1"/>
    <x:xf numFmtId="202" fontId="0" fillId="3" borderId="0" xfId="0" applyNumberFormat="1" applyFont="1" applyFill="1" applyBorder="1"/>
    <x:xf numFmtId="206" fontId="5" fillId="3" borderId="0" xfId="0" applyNumberFormat="1" applyFont="1" applyFill="1" applyBorder="1"/>
    <x:xf numFmtId="202" fontId="5" fillId="3" borderId="0" xfId="0" applyNumberFormat="1" applyFont="1" applyFill="1" applyBorder="1"/>
    <x:xf numFmtId="206" fontId="5" fillId="3" borderId="10" xfId="0" applyNumberFormat="1" applyFont="1" applyFill="1" applyBorder="1"/>
    <x:xf numFmtId="202" fontId="5" fillId="3" borderId="10" xfId="0" applyNumberFormat="1" applyFont="1" applyFill="1" applyBorder="1"/>
    <x:xf numFmtId="206" fontId="0" fillId="7" borderId="8" xfId="0" applyNumberFormat="1" applyFont="1" applyFill="1" applyBorder="1"/>
    <x:xf numFmtId="206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206" fontId="0" fillId="7" borderId="9" xfId="0" applyNumberFormat="1" applyFont="1" applyFill="1" applyBorder="1"/>
    <x:xf numFmtId="206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204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3" fillId="8" borderId="0" xfId="0" applyNumberFormat="1" applyFont="1" applyFill="1" applyBorder="1" applyAlignment="1">
      <x:alignment horizontal="center" vertical="center" wrapText="1"/>
    </x:xf>
    <x:xf numFmtId="204" fontId="0" fillId="8" borderId="0" xfId="0" applyNumberFormat="1" applyFont="1" applyFill="1" applyBorder="1"/>
    <x:xf numFmtId="202" fontId="0" fillId="8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7" xfId="0" applyNumberFormat="1" applyFont="1" applyFill="1" applyBorder="1" applyAlignment="1">
      <x:alignment horizontal="center"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204" fontId="0" fillId="8" borderId="8" xfId="0" applyNumberFormat="1" applyFont="1" applyFill="1" applyBorder="1"/>
    <x:xf numFmtId="204" fontId="0" fillId="8" borderId="4" xfId="0" applyNumberFormat="1" applyFont="1" applyFill="1" applyBorder="1"/>
    <x:xf numFmtId="202" fontId="0" fillId="8" borderId="8" xfId="0" applyNumberFormat="1" applyFont="1" applyFill="1" applyBorder="1"/>
    <x:xf numFmtId="202" fontId="0" fillId="8" borderId="4" xfId="0" applyNumberFormat="1" applyFont="1" applyFill="1" applyBorder="1"/>
    <x:xf numFmtId="0" fontId="0" fillId="8" borderId="9" xfId="0" applyNumberFormat="1" applyFont="1" applyFill="1" applyBorder="1"/>
    <x:xf numFmtId="0" fontId="0" fillId="8" borderId="6" xfId="0" applyNumberFormat="1" applyFont="1" applyFill="1" applyBorder="1"/>
    <x:xf numFmtId="204" fontId="0" fillId="3" borderId="0" xfId="0" applyNumberFormat="1" applyFont="1" applyFill="1" applyBorder="1"/>
    <x:xf numFmtId="204" fontId="5" fillId="3" borderId="0" xfId="0" applyNumberFormat="1" applyFont="1" applyFill="1" applyBorder="1"/>
    <x:xf numFmtId="204" fontId="5" fillId="3" borderId="10" xfId="0" applyNumberFormat="1" applyFont="1" applyFill="1" applyBorder="1"/>
    <x:xf numFmtId="0" fontId="6" fillId="3" borderId="0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3" borderId="14" xfId="0" applyNumberFormat="1" applyFont="1" applyFill="1" applyBorder="1"/>
    <x:xf numFmtId="0" fontId="6" fillId="3" borderId="15" xfId="0" applyNumberFormat="1" applyFont="1" applyFill="1" applyBorder="1"/>
    <x:xf numFmtId="0" fontId="6" fillId="3" borderId="16" xfId="0" applyNumberFormat="1" applyFont="1" applyFill="1" applyBorder="1"/>
    <x:xf numFmtId="0" fontId="6" fillId="3" borderId="17" xfId="0" applyNumberFormat="1" applyFont="1" applyFill="1" applyBorder="1"/>
    <x:xf numFmtId="0" fontId="6" fillId="3" borderId="18" xfId="0" applyNumberFormat="1" applyFont="1" applyFill="1" applyBorder="1"/>
    <x:xf numFmtId="0" fontId="6" fillId="3" borderId="19" xfId="0" applyNumberFormat="1" applyFont="1" applyFill="1" applyBorder="1"/>
    <x:xf numFmtId="0" fontId="6" fillId="3" borderId="12" xfId="0" applyNumberFormat="1" applyFont="1" applyFill="1" applyBorder="1" applyAlignment="1">
      <x:alignment horizontal="center"/>
    </x:xf>
    <x:xf numFmtId="0" fontId="6" fillId="3" borderId="13" xfId="0" applyNumberFormat="1" applyFont="1" applyFill="1" applyBorder="1" applyAlignment="1">
      <x:alignment horizontal="center"/>
    </x:xf>
    <x:xf numFmtId="0" fontId="6" fillId="3" borderId="14" xfId="0" applyNumberFormat="1" applyFont="1" applyFill="1" applyBorder="1" applyAlignment="1">
      <x:alignment horizontal="center"/>
    </x:xf>
    <x:xf numFmtId="0" fontId="6" fillId="3" borderId="15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/>
    </x:xf>
    <x:xf numFmtId="0" fontId="6" fillId="3" borderId="16" xfId="0" applyNumberFormat="1" applyFont="1" applyFill="1" applyBorder="1" applyAlignment="1">
      <x:alignment horizontal="center"/>
    </x:xf>
    <x:xf numFmtId="0" fontId="6" fillId="3" borderId="17" xfId="0" applyNumberFormat="1" applyFont="1" applyFill="1" applyBorder="1" applyAlignment="1">
      <x:alignment horizontal="center"/>
    </x:xf>
    <x:xf numFmtId="0" fontId="6" fillId="3" borderId="18" xfId="0" applyNumberFormat="1" applyFont="1" applyFill="1" applyBorder="1" applyAlignment="1">
      <x:alignment horizontal="center"/>
    </x:xf>
    <x:xf numFmtId="0" fontId="6" fillId="3" borderId="19" xfId="0" applyNumberFormat="1" applyFont="1" applyFill="1" applyBorder="1" applyAlignment="1">
      <x:alignment horizontal="center"/>
    </x:xf>
    <x:xf numFmtId="0" fontId="6" fillId="3" borderId="12" xfId="0" applyNumberFormat="1" applyFont="1" applyFill="1" applyBorder="1" applyAlignment="1">
      <x:alignment horizontal="center" vertical="center"/>
    </x:xf>
    <x:xf numFmtId="0" fontId="6" fillId="3" borderId="13" xfId="0" applyNumberFormat="1" applyFont="1" applyFill="1" applyBorder="1" applyAlignment="1">
      <x:alignment horizontal="center" vertical="center"/>
    </x:xf>
    <x:xf numFmtId="0" fontId="6" fillId="3" borderId="14" xfId="0" applyNumberFormat="1" applyFont="1" applyFill="1" applyBorder="1" applyAlignment="1">
      <x:alignment horizontal="center" vertical="center"/>
    </x:xf>
    <x:xf numFmtId="0" fontId="6" fillId="3" borderId="15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6" fillId="3" borderId="16" xfId="0" applyNumberFormat="1" applyFont="1" applyFill="1" applyBorder="1" applyAlignment="1">
      <x:alignment horizontal="center" vertical="center"/>
    </x:xf>
    <x:xf numFmtId="0" fontId="6" fillId="3" borderId="17" xfId="0" applyNumberFormat="1" applyFont="1" applyFill="1" applyBorder="1" applyAlignment="1">
      <x:alignment horizontal="center" vertical="center"/>
    </x:xf>
    <x:xf numFmtId="0" fontId="6" fillId="3" borderId="18" xfId="0" applyNumberFormat="1" applyFont="1" applyFill="1" applyBorder="1" applyAlignment="1">
      <x:alignment horizontal="center" vertical="center"/>
    </x:xf>
    <x:xf numFmtId="0" fontId="6" fillId="3" borderId="19" xfId="0" applyNumberFormat="1" applyFont="1" applyFill="1" applyBorder="1" applyAlignment="1">
      <x:alignment horizontal="center" vertical="center"/>
    </x:xf>
    <x:xf numFmtId="206" fontId="6" fillId="3" borderId="12" xfId="0" applyNumberFormat="1" applyFont="1" applyFill="1" applyBorder="1" applyAlignment="1">
      <x:alignment horizontal="center" vertical="center"/>
    </x:xf>
    <x:xf numFmtId="206" fontId="6" fillId="3" borderId="13" xfId="0" applyNumberFormat="1" applyFont="1" applyFill="1" applyBorder="1" applyAlignment="1">
      <x:alignment horizontal="center" vertical="center"/>
    </x:xf>
    <x:xf numFmtId="206" fontId="6" fillId="3" borderId="14" xfId="0" applyNumberFormat="1" applyFont="1" applyFill="1" applyBorder="1" applyAlignment="1">
      <x:alignment horizontal="center" vertical="center"/>
    </x:xf>
    <x:xf numFmtId="206" fontId="6" fillId="3" borderId="15" xfId="0" applyNumberFormat="1" applyFont="1" applyFill="1" applyBorder="1" applyAlignment="1">
      <x:alignment horizontal="center" vertical="center"/>
    </x:xf>
    <x:xf numFmtId="206" fontId="6" fillId="3" borderId="0" xfId="0" applyNumberFormat="1" applyFont="1" applyFill="1" applyBorder="1" applyAlignment="1">
      <x:alignment horizontal="center" vertical="center"/>
    </x:xf>
    <x:xf numFmtId="206" fontId="6" fillId="3" borderId="16" xfId="0" applyNumberFormat="1" applyFont="1" applyFill="1" applyBorder="1" applyAlignment="1">
      <x:alignment horizontal="center" vertical="center"/>
    </x:xf>
    <x:xf numFmtId="206" fontId="6" fillId="3" borderId="17" xfId="0" applyNumberFormat="1" applyFont="1" applyFill="1" applyBorder="1" applyAlignment="1">
      <x:alignment horizontal="center" vertical="center"/>
    </x:xf>
    <x:xf numFmtId="206" fontId="6" fillId="3" borderId="18" xfId="0" applyNumberFormat="1" applyFont="1" applyFill="1" applyBorder="1" applyAlignment="1">
      <x:alignment horizontal="center" vertical="center"/>
    </x:xf>
    <x:xf numFmtId="206" fontId="6" fillId="3" borderId="19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26A2E"/>
      </x:font>
      <x:fill>
        <x:patternFill>
          <x:bgColor rgb="FFDDF3E4"/>
        </x:patternFill>
      </x:fill>
    </x:dxf>
    <x:dxf>
      <x:font>
        <x:b/>
        <x:color rgb="FF9B1C1C"/>
      </x:font>
      <x:fill>
        <x:patternFill>
          <x:bgColor rgb="FFFCE3E3"/>
        </x:patternFill>
      </x:fill>
    </x:dxf>
    <x:dxf>
      <x:font>
        <x:b/>
        <x:color rgb="FF126A2E"/>
      </x:font>
      <x:fill>
        <x:patternFill>
          <x:bgColor rgb="FFDDF3E4"/>
        </x:patternFill>
      </x:fill>
    </x:dxf>
    <x:dxf>
      <x:font>
        <x:b/>
        <x:color rgb="FF9B1C1C"/>
      </x:font>
      <x:fill>
        <x:patternFill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4aad7f29f4898" /><Relationship Type="http://schemas.openxmlformats.org/officeDocument/2006/relationships/theme" Target="/xl/theme/theme1.xml" Id="R58b2888d21914831" /><Relationship Type="http://schemas.openxmlformats.org/officeDocument/2006/relationships/sharedStrings" Target="/xl/sharedStrings.xml" Id="R52d98f61b347416a" /><Relationship Type="http://schemas.openxmlformats.org/officeDocument/2006/relationships/worksheet" Target="/xl/worksheets/sheet1.xml" Id="R8865a06c9ab04649" /><Relationship Type="http://schemas.openxmlformats.org/officeDocument/2006/relationships/worksheet" Target="/xl/worksheets/sheet2.xml" Id="R8a94a977134f4ee4" /><Relationship Type="http://schemas.openxmlformats.org/officeDocument/2006/relationships/worksheet" Target="/xl/worksheets/sheet3.xml" Id="Ra7fb0ae6294041c0" /><Relationship Type="http://schemas.openxmlformats.org/officeDocument/2006/relationships/worksheet" Target="/xl/worksheets/sheet4.xml" Id="Ra92079374bd64a04" /><Relationship Type="http://schemas.openxmlformats.org/officeDocument/2006/relationships/worksheet" Target="/xl/worksheets/sheet5.xml" Id="Rc1f082e1ca3e4be7" /><Relationship Type="http://schemas.openxmlformats.org/officeDocument/2006/relationships/worksheet" Target="/xl/worksheets/sheet6.xml" Id="R20d104571e45444a" /><Relationship Type="http://schemas.openxmlformats.org/officeDocument/2006/relationships/worksheet" Target="/xl/worksheets/sheet7.xml" Id="R3abf5db987fc469f" /><Relationship Type="http://schemas.openxmlformats.org/officeDocument/2006/relationships/worksheet" Target="/xl/worksheets/sheet8.xml" Id="R14614648feb64dde" /><Relationship Type="http://schemas.openxmlformats.org/officeDocument/2006/relationships/worksheet" Target="/xl/worksheets/sheet9.xml" Id="R52a59192e3204ea2" /><Relationship Type="http://schemas.openxmlformats.org/officeDocument/2006/relationships/worksheet" Target="/xl/worksheets/sheet10.xml" Id="R31e11487fb694b57" /><Relationship Type="http://schemas.openxmlformats.org/officeDocument/2006/relationships/worksheet" Target="/xl/worksheets/sheet11.xml" Id="Raef8119f7f4f487b" /><Relationship Type="http://schemas.openxmlformats.org/officeDocument/2006/relationships/worksheet" Target="/xl/worksheets/sheet12.xml" Id="Rdd142c5c471c4b3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b53a85b88484c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Revenue, budget and EBITDA trend ($000)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'Dashboard'!$A$11:$A$28</c:f>
              <c:strCache>
                <c:ptCount val="0"/>
              </c:strCache>
            </c:strRef>
          </c:cat>
          <c:val>
            <c:numRef>
              <c:f>'Dashboard'!$B$11:$B$28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Budget</c:v>
          </c:tx>
          <c:marker>
            <c:symbol val="none"/>
          </c:marker>
          <c:cat>
            <c:strRef>
              <c:f>'Dashboard'!$A$11:$A$28</c:f>
              <c:strCache>
                <c:ptCount val="0"/>
              </c:strCache>
            </c:strRef>
          </c:cat>
          <c:val>
            <c:numRef>
              <c:f>'Dashboard'!$C$11:$C$28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EBITDA</c:v>
          </c:tx>
          <c:marker>
            <c:symbol val="none"/>
          </c:marker>
          <c:cat>
            <c:strRef>
              <c:f>'Dashboard'!$A$11:$A$28</c:f>
              <c:strCache>
                <c:ptCount val="0"/>
              </c:strCache>
            </c:strRef>
          </c:cat>
          <c:val>
            <c:numRef>
              <c:f>'Dashboard'!$D$11:$D$28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9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b53a85b88484cf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5fdfb80ddeb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9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FP&amp;A OPERATING PLAN &amp; ROLLING FORECAST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4">
      <x:c r="A4" s="7" t="str">
        <x:v>Driver-based planning model for a synthetic B2B SaaS company: revenue, headcount, opex, EBITDA, variance, scenarios and liquidity.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</x:row>
    <x:row r="7">
      <x:c r="A7" s="9" t="str">
        <x:v>Model owner</x:v>
      </x:c>
      <x:c r="B7" s="11" t="str">
        <x:v>Nguyen Tuan Khoi</x:v>
      </x:c>
    </x:row>
    <x:row r="8">
      <x:c r="A8" s="9" t="str">
        <x:v>Business</x:v>
      </x:c>
      <x:c r="B8" s="11" t="str">
        <x:v>AtlasCloud — synthetic B2B SaaS</x:v>
      </x:c>
    </x:row>
    <x:row r="9">
      <x:c r="A9" s="9" t="str">
        <x:v>Currency</x:v>
      </x:c>
      <x:c r="B9" s="11" t="str">
        <x:v>USD thousands, except unit metrics</x:v>
      </x:c>
    </x:row>
    <x:row r="10">
      <x:c r="A10" s="9" t="str">
        <x:v>Planning horizon</x:v>
      </x:c>
      <x:c r="B10" s="11" t="str">
        <x:v>Jan 2026–Jun 2027</x:v>
      </x:c>
    </x:row>
    <x:row r="11">
      <x:c r="A11" s="9" t="str">
        <x:v>Actuals through</x:v>
      </x:c>
      <x:c r="B11" s="11" t="str">
        <x:v>Jun 2026</x:v>
      </x:c>
    </x:row>
    <x:row r="12">
      <x:c r="A12" s="9" t="str">
        <x:v>Forecast horizon</x:v>
      </x:c>
      <x:c r="B12" s="11" t="str">
        <x:v>12-month rolling forecast</x:v>
      </x:c>
    </x:row>
    <x:row r="13">
      <x:c r="A13" s="9" t="str">
        <x:v>Selected scenario</x:v>
      </x:c>
      <x:c r="B13" s="11" t="str">
        <x:v>Base</x:v>
      </x:c>
    </x:row>
    <x:row r="14">
      <x:c r="A14" s="9" t="str">
        <x:v>Primary audience</x:v>
      </x:c>
      <x:c r="B14" s="11" t="str">
        <x:v>CFO / FP&amp;A / functional leaders</x:v>
      </x:c>
    </x:row>
    <x:row r="15">
      <x:c r="A15" s="9" t="str">
        <x:v>Decision supported</x:v>
      </x:c>
      <x:c r="B15" s="11" t="str">
        <x:v>Where will the business land and what drives the gap?</x:v>
      </x:c>
    </x:row>
    <x:row r="17">
      <x:c r="A17" s="15" t="str">
        <x:v>How to use: update yellow assumptions, paste the latest actual drivers into Revenue_Plan, review Dashboard and Variance, then confirm Checks is PASS. All data is synthetic and portfolio-safe.</x:v>
      </x:c>
      <x:c r="B17" s="15"/>
      <x:c r="C17" s="15"/>
      <x:c r="D17" s="15"/>
      <x:c r="E17" s="15"/>
      <x:c r="F17" s="15"/>
      <x:c r="G17" s="15"/>
      <x:c r="H17" s="15"/>
      <x:c r="I17" s="15"/>
      <x:c r="J17" s="15"/>
    </x:row>
    <x:row r="18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>
      <x:c r="A19" s="15"/>
      <x:c r="B19" s="15"/>
      <x:c r="C19" s="15"/>
      <x:c r="D19" s="15"/>
      <x:c r="E19" s="15"/>
      <x:c r="F19" s="15"/>
      <x:c r="G19" s="15"/>
      <x:c r="H19" s="15"/>
      <x:c r="I19" s="15"/>
      <x:c r="J19" s="15"/>
    </x:row>
    <x:row r="20">
      <x:c r="A20" s="15"/>
      <x:c r="B20" s="15"/>
      <x:c r="C20" s="15"/>
      <x:c r="D20" s="15"/>
      <x:c r="E20" s="15"/>
      <x:c r="F20" s="15"/>
      <x:c r="G20" s="15"/>
      <x:c r="H20" s="15"/>
      <x:c r="I20" s="15"/>
      <x:c r="J20" s="15"/>
    </x:row>
  </x:sheetData>
  <x:mergeCells>
    <x:mergeCell ref="A1:J2"/>
    <x:mergeCell ref="A4:J5"/>
    <x:mergeCell ref="A17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>
      <x:c r="A1" s="3" t="str">
        <x:v>EXECUTIVE FP&amp;A DASHBOARD — FY2026 BASE VIEW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s="18" t="str">
        <x:v>Revenue</x:v>
      </x:c>
      <x:c r="B4" s="18"/>
      <x:c r="C4" s="18"/>
      <x:c r="D4" s="18" t="str">
        <x:v>Revenue vs budget</x:v>
      </x:c>
      <x:c r="E4" s="18"/>
      <x:c r="F4" s="18"/>
      <x:c r="G4" s="18" t="str">
        <x:v>EBITDA</x:v>
      </x:c>
      <x:c r="H4" s="18"/>
      <x:c r="I4" s="18"/>
      <x:c r="J4" s="18" t="str">
        <x:v>Ending cash</x:v>
      </x:c>
      <x:c r="K4" s="18"/>
      <x:c r="L4" s="18"/>
    </x:row>
    <x:row r="5">
      <x:c r="A5" s="133" t="n">
        <x:f>SUM('Monthly_PnL'!B5:M5)</x:f>
        <x:v>30640.598000000005</x:v>
      </x:c>
      <x:c r="B5" s="134"/>
      <x:c r="C5" s="135"/>
      <x:c r="D5" s="133" t="n">
        <x:f>SUM('Monthly_PnL'!B7:M7)</x:f>
        <x:v>-15.001999999999953</x:v>
      </x:c>
      <x:c r="E5" s="134"/>
      <x:c r="F5" s="135"/>
      <x:c r="G5" s="133" t="n">
        <x:f>SUM('Monthly_PnL'!B12:M12)</x:f>
        <x:v>8764.928699999997</x:v>
      </x:c>
      <x:c r="H5" s="134"/>
      <x:c r="I5" s="135"/>
      <x:c r="J5" s="133" t="n">
        <x:f>'Cash_Forecast'!M10</x:f>
        <x:v>25541.555080000002</x:v>
      </x:c>
      <x:c r="K5" s="134"/>
      <x:c r="L5" s="135"/>
    </x:row>
    <x:row r="6">
      <x:c r="A6" s="136"/>
      <x:c r="B6" s="137"/>
      <x:c r="C6" s="138"/>
      <x:c r="D6" s="136"/>
      <x:c r="E6" s="137"/>
      <x:c r="F6" s="138"/>
      <x:c r="G6" s="136"/>
      <x:c r="H6" s="137"/>
      <x:c r="I6" s="138"/>
      <x:c r="J6" s="136"/>
      <x:c r="K6" s="137"/>
      <x:c r="L6" s="138"/>
    </x:row>
    <x:row r="7">
      <x:c r="A7" s="139"/>
      <x:c r="B7" s="140"/>
      <x:c r="C7" s="141"/>
      <x:c r="D7" s="139"/>
      <x:c r="E7" s="140"/>
      <x:c r="F7" s="141"/>
      <x:c r="G7" s="139"/>
      <x:c r="H7" s="140"/>
      <x:c r="I7" s="141"/>
      <x:c r="J7" s="139"/>
      <x:c r="K7" s="140"/>
      <x:c r="L7" s="141"/>
    </x:row>
    <x:row r="10">
      <x:c r="A10" s="18" t="str">
        <x:v>Month</x:v>
      </x:c>
      <x:c r="B10" s="18" t="str">
        <x:v>Revenue</x:v>
      </x:c>
      <x:c r="C10" s="18" t="str">
        <x:v>Budget</x:v>
      </x:c>
      <x:c r="D10" s="18" t="str">
        <x:v>EBITDA</x:v>
      </x:c>
    </x:row>
    <x:row r="11">
      <x:c r="A11" t="str">
        <x:v>Jan 26</x:v>
      </x:c>
      <x:c r="B11" s="43" t="n">
        <x:f>'Monthly_PnL'!B5</x:f>
        <x:v>2255.496</x:v>
      </x:c>
      <x:c r="C11" s="43" t="n">
        <x:f>'Monthly_PnL'!B6</x:f>
        <x:v>2264</x:v>
      </x:c>
      <x:c r="D11" s="43" t="n">
        <x:f>'Monthly_PnL'!B12</x:f>
        <x:v>489.3547733333333</x:v>
      </x:c>
    </x:row>
    <x:row r="12">
      <x:c r="A12" t="str">
        <x:v>Feb 26</x:v>
      </x:c>
      <x:c r="B12" s="43" t="n">
        <x:f>'Monthly_PnL'!C5</x:f>
        <x:v>2287.134</x:v>
      </x:c>
      <x:c r="C12" s="43" t="n">
        <x:f>'Monthly_PnL'!C6</x:f>
        <x:v>2308.2</x:v>
      </x:c>
      <x:c r="D12" s="43" t="n">
        <x:f>'Monthly_PnL'!C12</x:f>
        <x:v>515.4097533333334</x:v>
      </x:c>
    </x:row>
    <x:row r="13">
      <x:c r="A13" t="str">
        <x:v>Mar 26</x:v>
      </x:c>
      <x:c r="B13" s="43" t="n">
        <x:f>'Monthly_PnL'!D5</x:f>
        <x:v>2539.4759999999997</x:v>
      </x:c>
      <x:c r="C13" s="43" t="n">
        <x:f>'Monthly_PnL'!D6</x:f>
        <x:v>2478.9</x:v>
      </x:c>
      <x:c r="D13" s="43" t="n">
        <x:f>'Monthly_PnL'!D12</x:f>
        <x:v>722.5391933333328</x:v>
      </x:c>
    </x:row>
    <x:row r="14">
      <x:c r="A14" t="str">
        <x:v>Apr 26</x:v>
      </x:c>
      <x:c r="B14" s="43" t="n">
        <x:f>'Monthly_PnL'!E5</x:f>
        <x:v>2348.131</x:v>
      </x:c>
      <x:c r="C14" s="43" t="n">
        <x:f>'Monthly_PnL'!E6</x:f>
        <x:v>2386.7</x:v>
      </x:c>
      <x:c r="D14" s="43" t="n">
        <x:f>'Monthly_PnL'!E12</x:f>
        <x:v>563.5320633333331</x:v>
      </x:c>
    </x:row>
    <x:row r="15">
      <x:c r="A15" t="str">
        <x:v>May 26</x:v>
      </x:c>
      <x:c r="B15" s="43" t="n">
        <x:f>'Monthly_PnL'!F5</x:f>
        <x:v>2379.486</x:v>
      </x:c>
      <x:c r="C15" s="43" t="n">
        <x:f>'Monthly_PnL'!F6</x:f>
        <x:v>2427.2</x:v>
      </x:c>
      <x:c r="D15" s="43" t="n">
        <x:f>'Monthly_PnL'!F12</x:f>
        <x:v>589.664393333333</x:v>
      </x:c>
    </x:row>
    <x:row r="16">
      <x:c r="A16" t="str">
        <x:v>Jun 26</x:v>
      </x:c>
      <x:c r="B16" s="43" t="n">
        <x:f>'Monthly_PnL'!G5</x:f>
        <x:v>2648.0750000000003</x:v>
      </x:c>
      <x:c r="C16" s="43" t="n">
        <x:f>'Monthly_PnL'!G6</x:f>
        <x:v>2607.8</x:v>
      </x:c>
      <x:c r="D16" s="43" t="n">
        <x:f>'Monthly_PnL'!G12</x:f>
        <x:v>809.5185233333332</x:v>
      </x:c>
    </x:row>
    <x:row r="17">
      <x:c r="A17" t="str">
        <x:v>Jul 26</x:v>
      </x:c>
      <x:c r="B17" s="43" t="n">
        <x:f>'Monthly_PnL'!H5</x:f>
        <x:v>2505.7</x:v>
      </x:c>
      <x:c r="C17" s="43" t="n">
        <x:f>'Monthly_PnL'!H6</x:f>
        <x:v>2505.7</x:v>
      </x:c>
      <x:c r="D17" s="43" t="n">
        <x:f>'Monthly_PnL'!H12</x:f>
        <x:v>690.017333333333</x:v>
      </x:c>
    </x:row>
    <x:row r="18">
      <x:c r="A18" t="str">
        <x:v>Aug 26</x:v>
      </x:c>
      <x:c r="B18" s="43" t="n">
        <x:f>'Monthly_PnL'!I5</x:f>
        <x:v>2548.7</x:v>
      </x:c>
      <x:c r="C18" s="43" t="n">
        <x:f>'Monthly_PnL'!I6</x:f>
        <x:v>2548.7</x:v>
      </x:c>
      <x:c r="D18" s="43" t="n">
        <x:f>'Monthly_PnL'!I12</x:f>
        <x:v>724.595333333333</x:v>
      </x:c>
    </x:row>
    <x:row r="19">
      <x:c r="A19" t="str">
        <x:v>Sep 26</x:v>
      </x:c>
      <x:c r="B19" s="43" t="n">
        <x:f>'Monthly_PnL'!J5</x:f>
        <x:v>2741.7</x:v>
      </x:c>
      <x:c r="C19" s="43" t="n">
        <x:f>'Monthly_PnL'!J6</x:f>
        <x:v>2741.7</x:v>
      </x:c>
      <x:c r="D19" s="43" t="n">
        <x:f>'Monthly_PnL'!J12</x:f>
        <x:v>885.0893333333329</x:v>
      </x:c>
    </x:row>
    <x:row r="20">
      <x:c r="A20" t="str">
        <x:v>Oct 26</x:v>
      </x:c>
      <x:c r="B20" s="43" t="n">
        <x:f>'Monthly_PnL'!K5</x:f>
        <x:v>2699.7</x:v>
      </x:c>
      <x:c r="C20" s="43" t="n">
        <x:f>'Monthly_PnL'!K6</x:f>
        <x:v>2699.7</x:v>
      </x:c>
      <x:c r="D20" s="43" t="n">
        <x:f>'Monthly_PnL'!K12</x:f>
        <x:v>846.1673333333329</x:v>
      </x:c>
    </x:row>
    <x:row r="21">
      <x:c r="A21" t="str">
        <x:v>Nov 26</x:v>
      </x:c>
      <x:c r="B21" s="43" t="n">
        <x:f>'Monthly_PnL'!L5</x:f>
        <x:v>2743.9</x:v>
      </x:c>
      <x:c r="C21" s="43" t="n">
        <x:f>'Monthly_PnL'!L6</x:f>
        <x:v>2743.9</x:v>
      </x:c>
      <x:c r="D21" s="43" t="n">
        <x:f>'Monthly_PnL'!L12</x:f>
        <x:v>881.6693333333333</x:v>
      </x:c>
    </x:row>
    <x:row r="22">
      <x:c r="A22" t="str">
        <x:v>Dec 26</x:v>
      </x:c>
      <x:c r="B22" s="43" t="n">
        <x:f>'Monthly_PnL'!M5</x:f>
        <x:v>2943.1000000000004</x:v>
      </x:c>
      <x:c r="C22" s="43" t="n">
        <x:f>'Monthly_PnL'!M6</x:f>
        <x:v>2943.1000000000004</x:v>
      </x:c>
      <x:c r="D22" s="43" t="n">
        <x:f>'Monthly_PnL'!M12</x:f>
        <x:v>1047.3713333333335</x:v>
      </x:c>
    </x:row>
    <x:row r="23">
      <x:c r="A23" t="str">
        <x:v>Jan 27</x:v>
      </x:c>
      <x:c r="B23" s="43" t="n">
        <x:f>'Monthly_PnL'!N5</x:f>
        <x:v>2756.1000000000004</x:v>
      </x:c>
      <x:c r="C23" s="43" t="n">
        <x:f>'Monthly_PnL'!N6</x:f>
        <x:v>2756.1000000000004</x:v>
      </x:c>
      <x:c r="D23" s="43" t="n">
        <x:f>'Monthly_PnL'!N12</x:f>
        <x:v>890.9993333333337</x:v>
      </x:c>
    </x:row>
    <x:row r="24">
      <x:c r="A24" t="str">
        <x:v>Feb 27</x:v>
      </x:c>
      <x:c r="B24" s="43" t="n">
        <x:f>'Monthly_PnL'!O5</x:f>
        <x:v>2794.1</x:v>
      </x:c>
      <x:c r="C24" s="43" t="n">
        <x:f>'Monthly_PnL'!O6</x:f>
        <x:v>2794.1</x:v>
      </x:c>
      <x:c r="D24" s="43" t="n">
        <x:f>'Monthly_PnL'!O12</x:f>
        <x:v>921.2933333333331</x:v>
      </x:c>
    </x:row>
    <x:row r="25">
      <x:c r="A25" t="str">
        <x:v>Mar 27</x:v>
      </x:c>
      <x:c r="B25" s="43" t="n">
        <x:f>'Monthly_PnL'!P5</x:f>
        <x:v>2995.8</x:v>
      </x:c>
      <x:c r="C25" s="43" t="n">
        <x:f>'Monthly_PnL'!P6</x:f>
        <x:v>2995.8</x:v>
      </x:c>
      <x:c r="D25" s="43" t="n">
        <x:f>'Monthly_PnL'!P12</x:f>
        <x:v>1089.2543333333333</x:v>
      </x:c>
    </x:row>
    <x:row r="26">
      <x:c r="A26" t="str">
        <x:v>Apr 27</x:v>
      </x:c>
      <x:c r="B26" s="43" t="n">
        <x:f>'Monthly_PnL'!Q5</x:f>
        <x:v>2878.8</x:v>
      </x:c>
      <x:c r="C26" s="43" t="n">
        <x:f>'Monthly_PnL'!Q6</x:f>
        <x:v>2878.8</x:v>
      </x:c>
      <x:c r="D26" s="43" t="n">
        <x:f>'Monthly_PnL'!Q12</x:f>
        <x:v>989.3483333333334</x:v>
      </x:c>
    </x:row>
    <x:row r="27">
      <x:c r="A27" t="str">
        <x:v>May 27</x:v>
      </x:c>
      <x:c r="B27" s="43" t="n">
        <x:f>'Monthly_PnL'!R5</x:f>
        <x:v>2913.1</x:v>
      </x:c>
      <x:c r="C27" s="43" t="n">
        <x:f>'Monthly_PnL'!R6</x:f>
        <x:v>2913.1</x:v>
      </x:c>
      <x:c r="D27" s="43" t="n">
        <x:f>'Monthly_PnL'!R12</x:f>
        <x:v>1016.6933333333332</x:v>
      </x:c>
    </x:row>
    <x:row r="28">
      <x:c r="A28" t="str">
        <x:v>Jun 27</x:v>
      </x:c>
      <x:c r="B28" s="43" t="n">
        <x:f>'Monthly_PnL'!S5</x:f>
        <x:v>3124.7</x:v>
      </x:c>
      <x:c r="C28" s="43" t="n">
        <x:f>'Monthly_PnL'!S6</x:f>
        <x:v>3124.7</x:v>
      </x:c>
      <x:c r="D28" s="43" t="n">
        <x:f>'Monthly_PnL'!S12</x:f>
        <x:v>1192.811333333333</x:v>
      </x:c>
    </x:row>
  </x:sheetData>
  <x:mergeCells>
    <x:mergeCell ref="A1:L2"/>
    <x:mergeCell ref="A4:C4"/>
    <x:mergeCell ref="D4:F4"/>
    <x:mergeCell ref="G4:I4"/>
    <x:mergeCell ref="J4:L4"/>
    <x:mergeCell ref="A5:C7"/>
    <x:mergeCell ref="D5:F7"/>
    <x:mergeCell ref="G5:I7"/>
    <x:mergeCell ref="J5:L7"/>
  </x:mergeCells>
  <x:pageMargins left="0.7" right="0.7" top="0.75" bottom="0.75" header="0.3" footer="0.3"/>
  <x:drawing xmlns:r="http://schemas.openxmlformats.org/officeDocument/2006/relationships" r:id="R15fdfb80ddeb423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3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3" t="str">
        <x:v>CENTRAL ASSUMPTIONS &amp; SCENARIO CONTROL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4">
      <x:c r="A4" s="22" t="str">
        <x:v>Control</x:v>
      </x:c>
      <x:c r="B4" s="23" t="str">
        <x:v>Value</x:v>
      </x:c>
    </x:row>
    <x:row r="5">
      <x:c r="A5" s="24" t="str">
        <x:v>Selected scenario</x:v>
      </x:c>
      <x:c r="B5" s="25" t="str">
        <x:v>Base</x:v>
      </x:c>
    </x:row>
    <x:row r="6">
      <x:c r="A6" s="24" t="str">
        <x:v>Actuals-through month</x:v>
      </x:c>
      <x:c r="B6" s="26" t="n">
        <x:v>46174</x:v>
      </x:c>
    </x:row>
    <x:row r="7">
      <x:c r="A7" s="24" t="str">
        <x:v>Opening cash ($000)</x:v>
      </x:c>
      <x:c r="B7" s="27" t="n">
        <x:v>18000</x:v>
      </x:c>
    </x:row>
    <x:row r="8">
      <x:c r="A8" s="28" t="str">
        <x:v>Minimum cash guardrail ($000)</x:v>
      </x:c>
      <x:c r="B8" s="29" t="n">
        <x:v>3000</x:v>
      </x:c>
    </x:row>
    <x:row r="11">
      <x:c r="A11" s="22" t="str">
        <x:v>Scenario</x:v>
      </x:c>
      <x:c r="B11" s="32" t="str">
        <x:v>Volume multiplier</x:v>
      </x:c>
      <x:c r="C11" s="32" t="str">
        <x:v>Price multiplier</x:v>
      </x:c>
      <x:c r="D11" s="32" t="str">
        <x:v>Hiring multiplier</x:v>
      </x:c>
      <x:c r="E11" s="32" t="str">
        <x:v>Variable-cost multiplier</x:v>
      </x:c>
      <x:c r="F11" s="23" t="str">
        <x:v>Opex multiplier</x:v>
      </x:c>
    </x:row>
    <x:row r="12">
      <x:c r="A12" s="24" t="str">
        <x:v>Downside</x:v>
      </x:c>
      <x:c r="B12" s="33" t="n">
        <x:v>0.91</x:v>
      </x:c>
      <x:c r="C12" s="33" t="n">
        <x:v>0.98</x:v>
      </x:c>
      <x:c r="D12" s="33" t="n">
        <x:v>0.95</x:v>
      </x:c>
      <x:c r="E12" s="33" t="n">
        <x:v>1.03</x:v>
      </x:c>
      <x:c r="F12" s="34" t="n">
        <x:v>1.02</x:v>
      </x:c>
    </x:row>
    <x:row r="13">
      <x:c r="A13" s="24" t="str">
        <x:v>Base</x:v>
      </x:c>
      <x:c r="B13" s="33" t="n">
        <x:v>1</x:v>
      </x:c>
      <x:c r="C13" s="33" t="n">
        <x:v>1</x:v>
      </x:c>
      <x:c r="D13" s="33" t="n">
        <x:v>1</x:v>
      </x:c>
      <x:c r="E13" s="33" t="n">
        <x:v>1</x:v>
      </x:c>
      <x:c r="F13" s="34" t="n">
        <x:v>1</x:v>
      </x:c>
    </x:row>
    <x:row r="14">
      <x:c r="A14" s="28" t="str">
        <x:v>Upside</x:v>
      </x:c>
      <x:c r="B14" s="35" t="n">
        <x:v>1.08</x:v>
      </x:c>
      <x:c r="C14" s="35" t="n">
        <x:v>1.02</x:v>
      </x:c>
      <x:c r="D14" s="35" t="n">
        <x:v>1.1</x:v>
      </x:c>
      <x:c r="E14" s="35" t="n">
        <x:v>0.99</x:v>
      </x:c>
      <x:c r="F14" s="36" t="n">
        <x:v>1.03</x:v>
      </x:c>
    </x:row>
    <x:row r="17">
      <x:c r="A17" s="22" t="str">
        <x:v>Product</x:v>
      </x:c>
      <x:c r="B17" s="32" t="str">
        <x:v>Budget unit price ($)</x:v>
      </x:c>
      <x:c r="C17" s="32" t="str">
        <x:v>Variable cost %</x:v>
      </x:c>
      <x:c r="D17" s="23" t="str">
        <x:v>Monthly seasonality profile</x:v>
      </x:c>
    </x:row>
    <x:row r="18">
      <x:c r="A18" s="24" t="str">
        <x:v>Core</x:v>
      </x:c>
      <x:c r="B18" s="37" t="n">
        <x:v>1200</x:v>
      </x:c>
      <x:c r="C18" s="33" t="n">
        <x:v>0.23</x:v>
      </x:c>
      <x:c r="D18" s="38" t="str">
        <x:v>Stable</x:v>
      </x:c>
    </x:row>
    <x:row r="19">
      <x:c r="A19" s="24" t="str">
        <x:v>Pro</x:v>
      </x:c>
      <x:c r="B19" s="37" t="n">
        <x:v>2500</x:v>
      </x:c>
      <x:c r="C19" s="33" t="n">
        <x:v>0.19</x:v>
      </x:c>
      <x:c r="D19" s="38" t="str">
        <x:v>Q4 weighted</x:v>
      </x:c>
    </x:row>
    <x:row r="20">
      <x:c r="A20" s="28" t="str">
        <x:v>Enterprise</x:v>
      </x:c>
      <x:c r="B20" s="39" t="n">
        <x:v>6200</x:v>
      </x:c>
      <x:c r="C20" s="35" t="n">
        <x:v>0.16</x:v>
      </x:c>
      <x:c r="D20" s="40" t="str">
        <x:v>Quarter-end weighted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3" t="str">
        <x:v>REVENUE DRIVER PLAN — UNIT VOLUME × PRICE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4">
      <x:c r="A4" s="22" t="str">
        <x:v>Month</x:v>
      </x:c>
      <x:c r="B4" s="32" t="str">
        <x:v>Product</x:v>
      </x:c>
      <x:c r="C4" s="32" t="str">
        <x:v>Status</x:v>
      </x:c>
      <x:c r="D4" s="32" t="str">
        <x:v>Budget units</x:v>
      </x:c>
      <x:c r="E4" s="32" t="str">
        <x:v>Budget price</x:v>
      </x:c>
      <x:c r="F4" s="32" t="str">
        <x:v>Actual units</x:v>
      </x:c>
      <x:c r="G4" s="32" t="str">
        <x:v>Actual price</x:v>
      </x:c>
      <x:c r="H4" s="32" t="str">
        <x:v>Scenario units</x:v>
      </x:c>
      <x:c r="I4" s="32" t="str">
        <x:v>Scenario price</x:v>
      </x:c>
      <x:c r="J4" s="32" t="str">
        <x:v>Budget revenue ($000)</x:v>
      </x:c>
      <x:c r="K4" s="32" t="str">
        <x:v>Actual/Forecast revenue ($000)</x:v>
      </x:c>
      <x:c r="L4" s="23" t="str">
        <x:v>Revenue variance</x:v>
      </x:c>
    </x:row>
    <x:row r="5">
      <x:c r="A5" s="45" t="n">
        <x:v>46023</x:v>
      </x:c>
      <x:c r="B5" s="46" t="str">
        <x:v>Core</x:v>
      </x:c>
      <x:c r="C5" s="46" t="str">
        <x:v>Actual</x:v>
      </x:c>
      <x:c r="D5" s="47" t="n">
        <x:v>750</x:v>
      </x:c>
      <x:c r="E5" s="48" t="n">
        <x:v>1200</x:v>
      </x:c>
      <x:c r="F5" s="37" t="n">
        <x:v>765</x:v>
      </x:c>
      <x:c r="G5" s="37" t="n">
        <x:v>1189</x:v>
      </x:c>
      <x:c r="H5" s="48" t="n">
        <x:f>IF(C5="Actual",F5,D5*IF('Assumptions'!$B$5="Downside",'Assumptions'!$B$12,IF('Assumptions'!$B$5="Upside",'Assumptions'!$B$14,'Assumptions'!$B$13)))</x:f>
        <x:v>765</x:v>
      </x:c>
      <x:c r="I5" s="48" t="n">
        <x:f>IF(C5="Actual",G5,E5*IF('Assumptions'!$B$5="Downside",'Assumptions'!$C$12,IF('Assumptions'!$B$5="Upside",'Assumptions'!$C$14,'Assumptions'!$C$13)))</x:f>
        <x:v>1189</x:v>
      </x:c>
      <x:c r="J5" s="49" t="n">
        <x:f>D5*E5/1000</x:f>
        <x:v>900</x:v>
      </x:c>
      <x:c r="K5" s="49" t="n">
        <x:f>H5*I5/1000</x:f>
        <x:v>909.585</x:v>
      </x:c>
      <x:c r="L5" s="50" t="n">
        <x:f>K5-J5</x:f>
        <x:v>9.585000000000036</x:v>
      </x:c>
    </x:row>
    <x:row r="6">
      <x:c r="A6" s="45" t="n">
        <x:v>46023</x:v>
      </x:c>
      <x:c r="B6" s="46" t="str">
        <x:v>Pro</x:v>
      </x:c>
      <x:c r="C6" s="46" t="str">
        <x:v>Actual</x:v>
      </x:c>
      <x:c r="D6" s="47" t="n">
        <x:v>310</x:v>
      </x:c>
      <x:c r="E6" s="48" t="n">
        <x:v>2500</x:v>
      </x:c>
      <x:c r="F6" s="37" t="n">
        <x:v>301</x:v>
      </x:c>
      <x:c r="G6" s="37" t="n">
        <x:v>2475</x:v>
      </x:c>
      <x:c r="H6" s="48" t="n">
        <x:f>IF(C6="Actual",F6,D6*IF('Assumptions'!$B$5="Downside",'Assumptions'!$B$12,IF('Assumptions'!$B$5="Upside",'Assumptions'!$B$14,'Assumptions'!$B$13)))</x:f>
        <x:v>301</x:v>
      </x:c>
      <x:c r="I6" s="48" t="n">
        <x:f>IF(C6="Actual",G6,E6*IF('Assumptions'!$B$5="Downside",'Assumptions'!$C$12,IF('Assumptions'!$B$5="Upside",'Assumptions'!$C$14,'Assumptions'!$C$13)))</x:f>
        <x:v>2475</x:v>
      </x:c>
      <x:c r="J6" s="49" t="n">
        <x:f>D6*E6/1000</x:f>
        <x:v>775</x:v>
      </x:c>
      <x:c r="K6" s="49" t="n">
        <x:f>H6*I6/1000</x:f>
        <x:v>744.975</x:v>
      </x:c>
      <x:c r="L6" s="50" t="n">
        <x:f>K6-J6</x:f>
        <x:v>-30.024999999999977</x:v>
      </x:c>
    </x:row>
    <x:row r="7">
      <x:c r="A7" s="45" t="n">
        <x:v>46023</x:v>
      </x:c>
      <x:c r="B7" s="46" t="str">
        <x:v>Enterprise</x:v>
      </x:c>
      <x:c r="C7" s="46" t="str">
        <x:v>Actual</x:v>
      </x:c>
      <x:c r="D7" s="47" t="n">
        <x:v>95</x:v>
      </x:c>
      <x:c r="E7" s="48" t="n">
        <x:v>6200</x:v>
      </x:c>
      <x:c r="F7" s="37" t="n">
        <x:v>98</x:v>
      </x:c>
      <x:c r="G7" s="37" t="n">
        <x:v>6132</x:v>
      </x:c>
      <x:c r="H7" s="48" t="n">
        <x:f>IF(C7="Actual",F7,D7*IF('Assumptions'!$B$5="Downside",'Assumptions'!$B$12,IF('Assumptions'!$B$5="Upside",'Assumptions'!$B$14,'Assumptions'!$B$13)))</x:f>
        <x:v>98</x:v>
      </x:c>
      <x:c r="I7" s="48" t="n">
        <x:f>IF(C7="Actual",G7,E7*IF('Assumptions'!$B$5="Downside",'Assumptions'!$C$12,IF('Assumptions'!$B$5="Upside",'Assumptions'!$C$14,'Assumptions'!$C$13)))</x:f>
        <x:v>6132</x:v>
      </x:c>
      <x:c r="J7" s="49" t="n">
        <x:f>D7*E7/1000</x:f>
        <x:v>589</x:v>
      </x:c>
      <x:c r="K7" s="49" t="n">
        <x:f>H7*I7/1000</x:f>
        <x:v>600.936</x:v>
      </x:c>
      <x:c r="L7" s="50" t="n">
        <x:f>K7-J7</x:f>
        <x:v>11.936000000000035</x:v>
      </x:c>
    </x:row>
    <x:row r="8">
      <x:c r="A8" s="45" t="n">
        <x:v>46054</x:v>
      </x:c>
      <x:c r="B8" s="46" t="str">
        <x:v>Core</x:v>
      </x:c>
      <x:c r="C8" s="46" t="str">
        <x:v>Actual</x:v>
      </x:c>
      <x:c r="D8" s="47" t="n">
        <x:v>764</x:v>
      </x:c>
      <x:c r="E8" s="48" t="n">
        <x:v>1200</x:v>
      </x:c>
      <x:c r="F8" s="37" t="n">
        <x:v>749</x:v>
      </x:c>
      <x:c r="G8" s="37" t="n">
        <x:v>1186</x:v>
      </x:c>
      <x:c r="H8" s="48" t="n">
        <x:f>IF(C8="Actual",F8,D8*IF('Assumptions'!$B$5="Downside",'Assumptions'!$B$12,IF('Assumptions'!$B$5="Upside",'Assumptions'!$B$14,'Assumptions'!$B$13)))</x:f>
        <x:v>749</x:v>
      </x:c>
      <x:c r="I8" s="48" t="n">
        <x:f>IF(C8="Actual",G8,E8*IF('Assumptions'!$B$5="Downside",'Assumptions'!$C$12,IF('Assumptions'!$B$5="Upside",'Assumptions'!$C$14,'Assumptions'!$C$13)))</x:f>
        <x:v>1186</x:v>
      </x:c>
      <x:c r="J8" s="49" t="n">
        <x:f>D8*E8/1000</x:f>
        <x:v>916.8</x:v>
      </x:c>
      <x:c r="K8" s="49" t="n">
        <x:f>H8*I8/1000</x:f>
        <x:v>888.314</x:v>
      </x:c>
      <x:c r="L8" s="50" t="n">
        <x:f>K8-J8</x:f>
        <x:v>-28.48599999999999</x:v>
      </x:c>
    </x:row>
    <x:row r="9">
      <x:c r="A9" s="45" t="n">
        <x:v>46054</x:v>
      </x:c>
      <x:c r="B9" s="46" t="str">
        <x:v>Pro</x:v>
      </x:c>
      <x:c r="C9" s="46" t="str">
        <x:v>Actual</x:v>
      </x:c>
      <x:c r="D9" s="47" t="n">
        <x:v>316</x:v>
      </x:c>
      <x:c r="E9" s="48" t="n">
        <x:v>2500</x:v>
      </x:c>
      <x:c r="F9" s="37" t="n">
        <x:v>329</x:v>
      </x:c>
      <x:c r="G9" s="37" t="n">
        <x:v>2468</x:v>
      </x:c>
      <x:c r="H9" s="48" t="n">
        <x:f>IF(C9="Actual",F9,D9*IF('Assumptions'!$B$5="Downside",'Assumptions'!$B$12,IF('Assumptions'!$B$5="Upside",'Assumptions'!$B$14,'Assumptions'!$B$13)))</x:f>
        <x:v>329</x:v>
      </x:c>
      <x:c r="I9" s="48" t="n">
        <x:f>IF(C9="Actual",G9,E9*IF('Assumptions'!$B$5="Downside",'Assumptions'!$C$12,IF('Assumptions'!$B$5="Upside",'Assumptions'!$C$14,'Assumptions'!$C$13)))</x:f>
        <x:v>2468</x:v>
      </x:c>
      <x:c r="J9" s="49" t="n">
        <x:f>D9*E9/1000</x:f>
        <x:v>790</x:v>
      </x:c>
      <x:c r="K9" s="49" t="n">
        <x:f>H9*I9/1000</x:f>
        <x:v>811.972</x:v>
      </x:c>
      <x:c r="L9" s="50" t="n">
        <x:f>K9-J9</x:f>
        <x:v>21.97199999999998</x:v>
      </x:c>
    </x:row>
    <x:row r="10">
      <x:c r="A10" s="45" t="n">
        <x:v>46054</x:v>
      </x:c>
      <x:c r="B10" s="46" t="str">
        <x:v>Enterprise</x:v>
      </x:c>
      <x:c r="C10" s="46" t="str">
        <x:v>Actual</x:v>
      </x:c>
      <x:c r="D10" s="47" t="n">
        <x:v>97</x:v>
      </x:c>
      <x:c r="E10" s="48" t="n">
        <x:v>6200</x:v>
      </x:c>
      <x:c r="F10" s="37" t="n">
        <x:v>96</x:v>
      </x:c>
      <x:c r="G10" s="37" t="n">
        <x:v>6113</x:v>
      </x:c>
      <x:c r="H10" s="48" t="n">
        <x:f>IF(C10="Actual",F10,D10*IF('Assumptions'!$B$5="Downside",'Assumptions'!$B$12,IF('Assumptions'!$B$5="Upside",'Assumptions'!$B$14,'Assumptions'!$B$13)))</x:f>
        <x:v>96</x:v>
      </x:c>
      <x:c r="I10" s="48" t="n">
        <x:f>IF(C10="Actual",G10,E10*IF('Assumptions'!$B$5="Downside",'Assumptions'!$C$12,IF('Assumptions'!$B$5="Upside",'Assumptions'!$C$14,'Assumptions'!$C$13)))</x:f>
        <x:v>6113</x:v>
      </x:c>
      <x:c r="J10" s="49" t="n">
        <x:f>D10*E10/1000</x:f>
        <x:v>601.4</x:v>
      </x:c>
      <x:c r="K10" s="49" t="n">
        <x:f>H10*I10/1000</x:f>
        <x:v>586.848</x:v>
      </x:c>
      <x:c r="L10" s="50" t="n">
        <x:f>K10-J10</x:f>
        <x:v>-14.552000000000021</x:v>
      </x:c>
    </x:row>
    <x:row r="11">
      <x:c r="A11" s="45" t="n">
        <x:v>46082</x:v>
      </x:c>
      <x:c r="B11" s="46" t="str">
        <x:v>Core</x:v>
      </x:c>
      <x:c r="C11" s="46" t="str">
        <x:v>Actual</x:v>
      </x:c>
      <x:c r="D11" s="47" t="n">
        <x:v>777</x:v>
      </x:c>
      <x:c r="E11" s="48" t="n">
        <x:v>1200</x:v>
      </x:c>
      <x:c r="F11" s="37" t="n">
        <x:v>816</x:v>
      </x:c>
      <x:c r="G11" s="37" t="n">
        <x:v>1182</x:v>
      </x:c>
      <x:c r="H11" s="48" t="n">
        <x:f>IF(C11="Actual",F11,D11*IF('Assumptions'!$B$5="Downside",'Assumptions'!$B$12,IF('Assumptions'!$B$5="Upside",'Assumptions'!$B$14,'Assumptions'!$B$13)))</x:f>
        <x:v>816</x:v>
      </x:c>
      <x:c r="I11" s="48" t="n">
        <x:f>IF(C11="Actual",G11,E11*IF('Assumptions'!$B$5="Downside",'Assumptions'!$C$12,IF('Assumptions'!$B$5="Upside",'Assumptions'!$C$14,'Assumptions'!$C$13)))</x:f>
        <x:v>1182</x:v>
      </x:c>
      <x:c r="J11" s="49" t="n">
        <x:f>D11*E11/1000</x:f>
        <x:v>932.4</x:v>
      </x:c>
      <x:c r="K11" s="49" t="n">
        <x:f>H11*I11/1000</x:f>
        <x:v>964.512</x:v>
      </x:c>
      <x:c r="L11" s="50" t="n">
        <x:f>K11-J11</x:f>
        <x:v>32.111999999999966</x:v>
      </x:c>
    </x:row>
    <x:row r="12">
      <x:c r="A12" s="45" t="n">
        <x:v>46082</x:v>
      </x:c>
      <x:c r="B12" s="46" t="str">
        <x:v>Pro</x:v>
      </x:c>
      <x:c r="C12" s="46" t="str">
        <x:v>Actual</x:v>
      </x:c>
      <x:c r="D12" s="47" t="n">
        <x:v>321</x:v>
      </x:c>
      <x:c r="E12" s="48" t="n">
        <x:v>2500</x:v>
      </x:c>
      <x:c r="F12" s="37" t="n">
        <x:v>321</x:v>
      </x:c>
      <x:c r="G12" s="37" t="n">
        <x:v>2478</x:v>
      </x:c>
      <x:c r="H12" s="48" t="n">
        <x:f>IF(C12="Actual",F12,D12*IF('Assumptions'!$B$5="Downside",'Assumptions'!$B$12,IF('Assumptions'!$B$5="Upside",'Assumptions'!$B$14,'Assumptions'!$B$13)))</x:f>
        <x:v>321</x:v>
      </x:c>
      <x:c r="I12" s="48" t="n">
        <x:f>IF(C12="Actual",G12,E12*IF('Assumptions'!$B$5="Downside",'Assumptions'!$C$12,IF('Assumptions'!$B$5="Upside",'Assumptions'!$C$14,'Assumptions'!$C$13)))</x:f>
        <x:v>2478</x:v>
      </x:c>
      <x:c r="J12" s="49" t="n">
        <x:f>D12*E12/1000</x:f>
        <x:v>802.5</x:v>
      </x:c>
      <x:c r="K12" s="49" t="n">
        <x:f>H12*I12/1000</x:f>
        <x:v>795.438</x:v>
      </x:c>
      <x:c r="L12" s="50" t="n">
        <x:f>K12-J12</x:f>
        <x:v>-7.062000000000012</x:v>
      </x:c>
    </x:row>
    <x:row r="13">
      <x:c r="A13" s="45" t="n">
        <x:v>46082</x:v>
      </x:c>
      <x:c r="B13" s="46" t="str">
        <x:v>Enterprise</x:v>
      </x:c>
      <x:c r="C13" s="46" t="str">
        <x:v>Actual</x:v>
      </x:c>
      <x:c r="D13" s="47" t="n">
        <x:v>120</x:v>
      </x:c>
      <x:c r="E13" s="48" t="n">
        <x:v>6200</x:v>
      </x:c>
      <x:c r="F13" s="37" t="n">
        <x:v>127</x:v>
      </x:c>
      <x:c r="G13" s="37" t="n">
        <x:v>6138</x:v>
      </x:c>
      <x:c r="H13" s="48" t="n">
        <x:f>IF(C13="Actual",F13,D13*IF('Assumptions'!$B$5="Downside",'Assumptions'!$B$12,IF('Assumptions'!$B$5="Upside",'Assumptions'!$B$14,'Assumptions'!$B$13)))</x:f>
        <x:v>127</x:v>
      </x:c>
      <x:c r="I13" s="48" t="n">
        <x:f>IF(C13="Actual",G13,E13*IF('Assumptions'!$B$5="Downside",'Assumptions'!$C$12,IF('Assumptions'!$B$5="Upside",'Assumptions'!$C$14,'Assumptions'!$C$13)))</x:f>
        <x:v>6138</x:v>
      </x:c>
      <x:c r="J13" s="49" t="n">
        <x:f>D13*E13/1000</x:f>
        <x:v>744</x:v>
      </x:c>
      <x:c r="K13" s="49" t="n">
        <x:f>H13*I13/1000</x:f>
        <x:v>779.526</x:v>
      </x:c>
      <x:c r="L13" s="50" t="n">
        <x:f>K13-J13</x:f>
        <x:v>35.525999999999954</x:v>
      </x:c>
    </x:row>
    <x:row r="14">
      <x:c r="A14" s="45" t="n">
        <x:v>46113</x:v>
      </x:c>
      <x:c r="B14" s="46" t="str">
        <x:v>Core</x:v>
      </x:c>
      <x:c r="C14" s="46" t="str">
        <x:v>Actual</x:v>
      </x:c>
      <x:c r="D14" s="47" t="n">
        <x:v>791</x:v>
      </x:c>
      <x:c r="E14" s="48" t="n">
        <x:v>1200</x:v>
      </x:c>
      <x:c r="F14" s="37" t="n">
        <x:v>799</x:v>
      </x:c>
      <x:c r="G14" s="37" t="n">
        <x:v>1187</x:v>
      </x:c>
      <x:c r="H14" s="48" t="n">
        <x:f>IF(C14="Actual",F14,D14*IF('Assumptions'!$B$5="Downside",'Assumptions'!$B$12,IF('Assumptions'!$B$5="Upside",'Assumptions'!$B$14,'Assumptions'!$B$13)))</x:f>
        <x:v>799</x:v>
      </x:c>
      <x:c r="I14" s="48" t="n">
        <x:f>IF(C14="Actual",G14,E14*IF('Assumptions'!$B$5="Downside",'Assumptions'!$C$12,IF('Assumptions'!$B$5="Upside",'Assumptions'!$C$14,'Assumptions'!$C$13)))</x:f>
        <x:v>1187</x:v>
      </x:c>
      <x:c r="J14" s="49" t="n">
        <x:f>D14*E14/1000</x:f>
        <x:v>949.2</x:v>
      </x:c>
      <x:c r="K14" s="49" t="n">
        <x:f>H14*I14/1000</x:f>
        <x:v>948.413</x:v>
      </x:c>
      <x:c r="L14" s="50" t="n">
        <x:f>K14-J14</x:f>
        <x:v>-0.7870000000000346</x:v>
      </x:c>
    </x:row>
    <x:row r="15">
      <x:c r="A15" s="45" t="n">
        <x:v>46113</x:v>
      </x:c>
      <x:c r="B15" s="46" t="str">
        <x:v>Pro</x:v>
      </x:c>
      <x:c r="C15" s="46" t="str">
        <x:v>Actual</x:v>
      </x:c>
      <x:c r="D15" s="47" t="n">
        <x:v>327</x:v>
      </x:c>
      <x:c r="E15" s="48" t="n">
        <x:v>2500</x:v>
      </x:c>
      <x:c r="F15" s="37" t="n">
        <x:v>314</x:v>
      </x:c>
      <x:c r="G15" s="37" t="n">
        <x:v>2470</x:v>
      </x:c>
      <x:c r="H15" s="48" t="n">
        <x:f>IF(C15="Actual",F15,D15*IF('Assumptions'!$B$5="Downside",'Assumptions'!$B$12,IF('Assumptions'!$B$5="Upside",'Assumptions'!$B$14,'Assumptions'!$B$13)))</x:f>
        <x:v>314</x:v>
      </x:c>
      <x:c r="I15" s="48" t="n">
        <x:f>IF(C15="Actual",G15,E15*IF('Assumptions'!$B$5="Downside",'Assumptions'!$C$12,IF('Assumptions'!$B$5="Upside",'Assumptions'!$C$14,'Assumptions'!$C$13)))</x:f>
        <x:v>2470</x:v>
      </x:c>
      <x:c r="J15" s="49" t="n">
        <x:f>D15*E15/1000</x:f>
        <x:v>817.5</x:v>
      </x:c>
      <x:c r="K15" s="49" t="n">
        <x:f>H15*I15/1000</x:f>
        <x:v>775.58</x:v>
      </x:c>
      <x:c r="L15" s="50" t="n">
        <x:f>K15-J15</x:f>
        <x:v>-41.91999999999996</x:v>
      </x:c>
    </x:row>
    <x:row r="16">
      <x:c r="A16" s="45" t="n">
        <x:v>46113</x:v>
      </x:c>
      <x:c r="B16" s="46" t="str">
        <x:v>Enterprise</x:v>
      </x:c>
      <x:c r="C16" s="46" t="str">
        <x:v>Actual</x:v>
      </x:c>
      <x:c r="D16" s="47" t="n">
        <x:v>100</x:v>
      </x:c>
      <x:c r="E16" s="48" t="n">
        <x:v>6200</x:v>
      </x:c>
      <x:c r="F16" s="37" t="n">
        <x:v>102</x:v>
      </x:c>
      <x:c r="G16" s="37" t="n">
        <x:v>6119</x:v>
      </x:c>
      <x:c r="H16" s="48" t="n">
        <x:f>IF(C16="Actual",F16,D16*IF('Assumptions'!$B$5="Downside",'Assumptions'!$B$12,IF('Assumptions'!$B$5="Upside",'Assumptions'!$B$14,'Assumptions'!$B$13)))</x:f>
        <x:v>102</x:v>
      </x:c>
      <x:c r="I16" s="48" t="n">
        <x:f>IF(C16="Actual",G16,E16*IF('Assumptions'!$B$5="Downside",'Assumptions'!$C$12,IF('Assumptions'!$B$5="Upside",'Assumptions'!$C$14,'Assumptions'!$C$13)))</x:f>
        <x:v>6119</x:v>
      </x:c>
      <x:c r="J16" s="49" t="n">
        <x:f>D16*E16/1000</x:f>
        <x:v>620</x:v>
      </x:c>
      <x:c r="K16" s="49" t="n">
        <x:f>H16*I16/1000</x:f>
        <x:v>624.138</x:v>
      </x:c>
      <x:c r="L16" s="50" t="n">
        <x:f>K16-J16</x:f>
        <x:v>4.138000000000034</x:v>
      </x:c>
    </x:row>
    <x:row r="17">
      <x:c r="A17" s="45" t="n">
        <x:v>46143</x:v>
      </x:c>
      <x:c r="B17" s="46" t="str">
        <x:v>Core</x:v>
      </x:c>
      <x:c r="C17" s="46" t="str">
        <x:v>Actual</x:v>
      </x:c>
      <x:c r="D17" s="47" t="n">
        <x:v>804</x:v>
      </x:c>
      <x:c r="E17" s="48" t="n">
        <x:v>1200</x:v>
      </x:c>
      <x:c r="F17" s="37" t="n">
        <x:v>780</x:v>
      </x:c>
      <x:c r="G17" s="37" t="n">
        <x:v>1183</x:v>
      </x:c>
      <x:c r="H17" s="48" t="n">
        <x:f>IF(C17="Actual",F17,D17*IF('Assumptions'!$B$5="Downside",'Assumptions'!$B$12,IF('Assumptions'!$B$5="Upside",'Assumptions'!$B$14,'Assumptions'!$B$13)))</x:f>
        <x:v>780</x:v>
      </x:c>
      <x:c r="I17" s="48" t="n">
        <x:f>IF(C17="Actual",G17,E17*IF('Assumptions'!$B$5="Downside",'Assumptions'!$C$12,IF('Assumptions'!$B$5="Upside",'Assumptions'!$C$14,'Assumptions'!$C$13)))</x:f>
        <x:v>1183</x:v>
      </x:c>
      <x:c r="J17" s="49" t="n">
        <x:f>D17*E17/1000</x:f>
        <x:v>964.8</x:v>
      </x:c>
      <x:c r="K17" s="49" t="n">
        <x:f>H17*I17/1000</x:f>
        <x:v>922.74</x:v>
      </x:c>
      <x:c r="L17" s="50" t="n">
        <x:f>K17-J17</x:f>
        <x:v>-42.059999999999945</x:v>
      </x:c>
    </x:row>
    <x:row r="18">
      <x:c r="A18" s="45" t="n">
        <x:v>46143</x:v>
      </x:c>
      <x:c r="B18" s="46" t="str">
        <x:v>Pro</x:v>
      </x:c>
      <x:c r="C18" s="46" t="str">
        <x:v>Actual</x:v>
      </x:c>
      <x:c r="D18" s="47" t="n">
        <x:v>332</x:v>
      </x:c>
      <x:c r="E18" s="48" t="n">
        <x:v>2500</x:v>
      </x:c>
      <x:c r="F18" s="37" t="n">
        <x:v>342</x:v>
      </x:c>
      <x:c r="G18" s="37" t="n">
        <x:v>2463</x:v>
      </x:c>
      <x:c r="H18" s="48" t="n">
        <x:f>IF(C18="Actual",F18,D18*IF('Assumptions'!$B$5="Downside",'Assumptions'!$B$12,IF('Assumptions'!$B$5="Upside",'Assumptions'!$B$14,'Assumptions'!$B$13)))</x:f>
        <x:v>342</x:v>
      </x:c>
      <x:c r="I18" s="48" t="n">
        <x:f>IF(C18="Actual",G18,E18*IF('Assumptions'!$B$5="Downside",'Assumptions'!$C$12,IF('Assumptions'!$B$5="Upside",'Assumptions'!$C$14,'Assumptions'!$C$13)))</x:f>
        <x:v>2463</x:v>
      </x:c>
      <x:c r="J18" s="49" t="n">
        <x:f>D18*E18/1000</x:f>
        <x:v>830</x:v>
      </x:c>
      <x:c r="K18" s="49" t="n">
        <x:f>H18*I18/1000</x:f>
        <x:v>842.346</x:v>
      </x:c>
      <x:c r="L18" s="50" t="n">
        <x:f>K18-J18</x:f>
        <x:v>12.346000000000004</x:v>
      </x:c>
    </x:row>
    <x:row r="19">
      <x:c r="A19" s="45" t="n">
        <x:v>46143</x:v>
      </x:c>
      <x:c r="B19" s="46" t="str">
        <x:v>Enterprise</x:v>
      </x:c>
      <x:c r="C19" s="46" t="str">
        <x:v>Actual</x:v>
      </x:c>
      <x:c r="D19" s="47" t="n">
        <x:v>102</x:v>
      </x:c>
      <x:c r="E19" s="48" t="n">
        <x:v>6200</x:v>
      </x:c>
      <x:c r="F19" s="37" t="n">
        <x:v>100</x:v>
      </x:c>
      <x:c r="G19" s="37" t="n">
        <x:v>6144</x:v>
      </x:c>
      <x:c r="H19" s="48" t="n">
        <x:f>IF(C19="Actual",F19,D19*IF('Assumptions'!$B$5="Downside",'Assumptions'!$B$12,IF('Assumptions'!$B$5="Upside",'Assumptions'!$B$14,'Assumptions'!$B$13)))</x:f>
        <x:v>100</x:v>
      </x:c>
      <x:c r="I19" s="48" t="n">
        <x:f>IF(C19="Actual",G19,E19*IF('Assumptions'!$B$5="Downside",'Assumptions'!$C$12,IF('Assumptions'!$B$5="Upside",'Assumptions'!$C$14,'Assumptions'!$C$13)))</x:f>
        <x:v>6144</x:v>
      </x:c>
      <x:c r="J19" s="49" t="n">
        <x:f>D19*E19/1000</x:f>
        <x:v>632.4</x:v>
      </x:c>
      <x:c r="K19" s="49" t="n">
        <x:f>H19*I19/1000</x:f>
        <x:v>614.4</x:v>
      </x:c>
      <x:c r="L19" s="50" t="n">
        <x:f>K19-J19</x:f>
        <x:v>-18</x:v>
      </x:c>
    </x:row>
    <x:row r="20">
      <x:c r="A20" s="45" t="n">
        <x:v>46174</x:v>
      </x:c>
      <x:c r="B20" s="46" t="str">
        <x:v>Core</x:v>
      </x:c>
      <x:c r="C20" s="46" t="str">
        <x:v>Actual</x:v>
      </x:c>
      <x:c r="D20" s="47" t="n">
        <x:v>818</x:v>
      </x:c>
      <x:c r="E20" s="48" t="n">
        <x:v>1200</x:v>
      </x:c>
      <x:c r="F20" s="37" t="n">
        <x:v>851</x:v>
      </x:c>
      <x:c r="G20" s="37" t="n">
        <x:v>1188</x:v>
      </x:c>
      <x:c r="H20" s="48" t="n">
        <x:f>IF(C20="Actual",F20,D20*IF('Assumptions'!$B$5="Downside",'Assumptions'!$B$12,IF('Assumptions'!$B$5="Upside",'Assumptions'!$B$14,'Assumptions'!$B$13)))</x:f>
        <x:v>851</x:v>
      </x:c>
      <x:c r="I20" s="48" t="n">
        <x:f>IF(C20="Actual",G20,E20*IF('Assumptions'!$B$5="Downside",'Assumptions'!$C$12,IF('Assumptions'!$B$5="Upside",'Assumptions'!$C$14,'Assumptions'!$C$13)))</x:f>
        <x:v>1188</x:v>
      </x:c>
      <x:c r="J20" s="49" t="n">
        <x:f>D20*E20/1000</x:f>
        <x:v>981.6</x:v>
      </x:c>
      <x:c r="K20" s="49" t="n">
        <x:f>H20*I20/1000</x:f>
        <x:v>1010.988</x:v>
      </x:c>
      <x:c r="L20" s="50" t="n">
        <x:f>K20-J20</x:f>
        <x:v>29.388000000000034</x:v>
      </x:c>
    </x:row>
    <x:row r="21">
      <x:c r="A21" s="45" t="n">
        <x:v>46174</x:v>
      </x:c>
      <x:c r="B21" s="46" t="str">
        <x:v>Pro</x:v>
      </x:c>
      <x:c r="C21" s="46" t="str">
        <x:v>Actual</x:v>
      </x:c>
      <x:c r="D21" s="47" t="n">
        <x:v>338</x:v>
      </x:c>
      <x:c r="E21" s="48" t="n">
        <x:v>2500</x:v>
      </x:c>
      <x:c r="F21" s="37" t="n">
        <x:v>335</x:v>
      </x:c>
      <x:c r="G21" s="37" t="n">
        <x:v>2473</x:v>
      </x:c>
      <x:c r="H21" s="48" t="n">
        <x:f>IF(C21="Actual",F21,D21*IF('Assumptions'!$B$5="Downside",'Assumptions'!$B$12,IF('Assumptions'!$B$5="Upside",'Assumptions'!$B$14,'Assumptions'!$B$13)))</x:f>
        <x:v>335</x:v>
      </x:c>
      <x:c r="I21" s="48" t="n">
        <x:f>IF(C21="Actual",G21,E21*IF('Assumptions'!$B$5="Downside",'Assumptions'!$C$12,IF('Assumptions'!$B$5="Upside",'Assumptions'!$C$14,'Assumptions'!$C$13)))</x:f>
        <x:v>2473</x:v>
      </x:c>
      <x:c r="J21" s="49" t="n">
        <x:f>D21*E21/1000</x:f>
        <x:v>845</x:v>
      </x:c>
      <x:c r="K21" s="49" t="n">
        <x:f>H21*I21/1000</x:f>
        <x:v>828.455</x:v>
      </x:c>
      <x:c r="L21" s="50" t="n">
        <x:f>K21-J21</x:f>
        <x:v>-16.54499999999996</x:v>
      </x:c>
    </x:row>
    <x:row r="22">
      <x:c r="A22" s="45" t="n">
        <x:v>46174</x:v>
      </x:c>
      <x:c r="B22" s="46" t="str">
        <x:v>Enterprise</x:v>
      </x:c>
      <x:c r="C22" s="46" t="str">
        <x:v>Actual</x:v>
      </x:c>
      <x:c r="D22" s="47" t="n">
        <x:v>126</x:v>
      </x:c>
      <x:c r="E22" s="48" t="n">
        <x:v>6200</x:v>
      </x:c>
      <x:c r="F22" s="37" t="n">
        <x:v>132</x:v>
      </x:c>
      <x:c r="G22" s="37" t="n">
        <x:v>6126</x:v>
      </x:c>
      <x:c r="H22" s="48" t="n">
        <x:f>IF(C22="Actual",F22,D22*IF('Assumptions'!$B$5="Downside",'Assumptions'!$B$12,IF('Assumptions'!$B$5="Upside",'Assumptions'!$B$14,'Assumptions'!$B$13)))</x:f>
        <x:v>132</x:v>
      </x:c>
      <x:c r="I22" s="48" t="n">
        <x:f>IF(C22="Actual",G22,E22*IF('Assumptions'!$B$5="Downside",'Assumptions'!$C$12,IF('Assumptions'!$B$5="Upside",'Assumptions'!$C$14,'Assumptions'!$C$13)))</x:f>
        <x:v>6126</x:v>
      </x:c>
      <x:c r="J22" s="49" t="n">
        <x:f>D22*E22/1000</x:f>
        <x:v>781.2</x:v>
      </x:c>
      <x:c r="K22" s="49" t="n">
        <x:f>H22*I22/1000</x:f>
        <x:v>808.632</x:v>
      </x:c>
      <x:c r="L22" s="50" t="n">
        <x:f>K22-J22</x:f>
        <x:v>27.431999999999903</x:v>
      </x:c>
    </x:row>
    <x:row r="23">
      <x:c r="A23" s="45" t="n">
        <x:v>46204</x:v>
      </x:c>
      <x:c r="B23" s="46" t="str">
        <x:v>Core</x:v>
      </x:c>
      <x:c r="C23" s="46" t="str">
        <x:v>Forecast</x:v>
      </x:c>
      <x:c r="D23" s="47" t="n">
        <x:v>831</x:v>
      </x:c>
      <x:c r="E23" s="48" t="n">
        <x:v>1200</x:v>
      </x:c>
      <x:c r="F23" s="37"/>
      <x:c r="G23" s="37"/>
      <x:c r="H23" s="48" t="n">
        <x:f>IF(C23="Actual",F23,D23*IF('Assumptions'!$B$5="Downside",'Assumptions'!$B$12,IF('Assumptions'!$B$5="Upside",'Assumptions'!$B$14,'Assumptions'!$B$13)))</x:f>
        <x:v>831</x:v>
      </x:c>
      <x:c r="I23" s="48" t="n">
        <x:f>IF(C23="Actual",G23,E23*IF('Assumptions'!$B$5="Downside",'Assumptions'!$C$12,IF('Assumptions'!$B$5="Upside",'Assumptions'!$C$14,'Assumptions'!$C$13)))</x:f>
        <x:v>1200</x:v>
      </x:c>
      <x:c r="J23" s="49" t="n">
        <x:f>D23*E23/1000</x:f>
        <x:v>997.2</x:v>
      </x:c>
      <x:c r="K23" s="49" t="n">
        <x:f>H23*I23/1000</x:f>
        <x:v>997.2</x:v>
      </x:c>
      <x:c r="L23" s="50" t="n">
        <x:f>K23-J23</x:f>
        <x:v>0</x:v>
      </x:c>
    </x:row>
    <x:row r="24">
      <x:c r="A24" s="45" t="n">
        <x:v>46204</x:v>
      </x:c>
      <x:c r="B24" s="46" t="str">
        <x:v>Pro</x:v>
      </x:c>
      <x:c r="C24" s="46" t="str">
        <x:v>Forecast</x:v>
      </x:c>
      <x:c r="D24" s="47" t="n">
        <x:v>343</x:v>
      </x:c>
      <x:c r="E24" s="48" t="n">
        <x:v>2500</x:v>
      </x:c>
      <x:c r="F24" s="37"/>
      <x:c r="G24" s="37"/>
      <x:c r="H24" s="48" t="n">
        <x:f>IF(C24="Actual",F24,D24*IF('Assumptions'!$B$5="Downside",'Assumptions'!$B$12,IF('Assumptions'!$B$5="Upside",'Assumptions'!$B$14,'Assumptions'!$B$13)))</x:f>
        <x:v>343</x:v>
      </x:c>
      <x:c r="I24" s="48" t="n">
        <x:f>IF(C24="Actual",G24,E24*IF('Assumptions'!$B$5="Downside",'Assumptions'!$C$12,IF('Assumptions'!$B$5="Upside",'Assumptions'!$C$14,'Assumptions'!$C$13)))</x:f>
        <x:v>2500</x:v>
      </x:c>
      <x:c r="J24" s="49" t="n">
        <x:f>D24*E24/1000</x:f>
        <x:v>857.5</x:v>
      </x:c>
      <x:c r="K24" s="49" t="n">
        <x:f>H24*I24/1000</x:f>
        <x:v>857.5</x:v>
      </x:c>
      <x:c r="L24" s="50" t="n">
        <x:f>K24-J24</x:f>
        <x:v>0</x:v>
      </x:c>
    </x:row>
    <x:row r="25">
      <x:c r="A25" s="45" t="n">
        <x:v>46204</x:v>
      </x:c>
      <x:c r="B25" s="46" t="str">
        <x:v>Enterprise</x:v>
      </x:c>
      <x:c r="C25" s="46" t="str">
        <x:v>Forecast</x:v>
      </x:c>
      <x:c r="D25" s="47" t="n">
        <x:v>105</x:v>
      </x:c>
      <x:c r="E25" s="48" t="n">
        <x:v>6200</x:v>
      </x:c>
      <x:c r="F25" s="37"/>
      <x:c r="G25" s="37"/>
      <x:c r="H25" s="48" t="n">
        <x:f>IF(C25="Actual",F25,D25*IF('Assumptions'!$B$5="Downside",'Assumptions'!$B$12,IF('Assumptions'!$B$5="Upside",'Assumptions'!$B$14,'Assumptions'!$B$13)))</x:f>
        <x:v>105</x:v>
      </x:c>
      <x:c r="I25" s="48" t="n">
        <x:f>IF(C25="Actual",G25,E25*IF('Assumptions'!$B$5="Downside",'Assumptions'!$C$12,IF('Assumptions'!$B$5="Upside",'Assumptions'!$C$14,'Assumptions'!$C$13)))</x:f>
        <x:v>6200</x:v>
      </x:c>
      <x:c r="J25" s="49" t="n">
        <x:f>D25*E25/1000</x:f>
        <x:v>651</x:v>
      </x:c>
      <x:c r="K25" s="49" t="n">
        <x:f>H25*I25/1000</x:f>
        <x:v>651</x:v>
      </x:c>
      <x:c r="L25" s="50" t="n">
        <x:f>K25-J25</x:f>
        <x:v>0</x:v>
      </x:c>
    </x:row>
    <x:row r="26">
      <x:c r="A26" s="45" t="n">
        <x:v>46235</x:v>
      </x:c>
      <x:c r="B26" s="46" t="str">
        <x:v>Core</x:v>
      </x:c>
      <x:c r="C26" s="46" t="str">
        <x:v>Forecast</x:v>
      </x:c>
      <x:c r="D26" s="47" t="n">
        <x:v>844</x:v>
      </x:c>
      <x:c r="E26" s="48" t="n">
        <x:v>1200</x:v>
      </x:c>
      <x:c r="F26" s="37"/>
      <x:c r="G26" s="37"/>
      <x:c r="H26" s="48" t="n">
        <x:f>IF(C26="Actual",F26,D26*IF('Assumptions'!$B$5="Downside",'Assumptions'!$B$12,IF('Assumptions'!$B$5="Upside",'Assumptions'!$B$14,'Assumptions'!$B$13)))</x:f>
        <x:v>844</x:v>
      </x:c>
      <x:c r="I26" s="48" t="n">
        <x:f>IF(C26="Actual",G26,E26*IF('Assumptions'!$B$5="Downside",'Assumptions'!$C$12,IF('Assumptions'!$B$5="Upside",'Assumptions'!$C$14,'Assumptions'!$C$13)))</x:f>
        <x:v>1200</x:v>
      </x:c>
      <x:c r="J26" s="49" t="n">
        <x:f>D26*E26/1000</x:f>
        <x:v>1012.8</x:v>
      </x:c>
      <x:c r="K26" s="49" t="n">
        <x:f>H26*I26/1000</x:f>
        <x:v>1012.8</x:v>
      </x:c>
      <x:c r="L26" s="50" t="n">
        <x:f>K26-J26</x:f>
        <x:v>0</x:v>
      </x:c>
    </x:row>
    <x:row r="27">
      <x:c r="A27" s="45" t="n">
        <x:v>46235</x:v>
      </x:c>
      <x:c r="B27" s="46" t="str">
        <x:v>Pro</x:v>
      </x:c>
      <x:c r="C27" s="46" t="str">
        <x:v>Forecast</x:v>
      </x:c>
      <x:c r="D27" s="47" t="n">
        <x:v>349</x:v>
      </x:c>
      <x:c r="E27" s="48" t="n">
        <x:v>2500</x:v>
      </x:c>
      <x:c r="F27" s="37"/>
      <x:c r="G27" s="37"/>
      <x:c r="H27" s="48" t="n">
        <x:f>IF(C27="Actual",F27,D27*IF('Assumptions'!$B$5="Downside",'Assumptions'!$B$12,IF('Assumptions'!$B$5="Upside",'Assumptions'!$B$14,'Assumptions'!$B$13)))</x:f>
        <x:v>349</x:v>
      </x:c>
      <x:c r="I27" s="48" t="n">
        <x:f>IF(C27="Actual",G27,E27*IF('Assumptions'!$B$5="Downside",'Assumptions'!$C$12,IF('Assumptions'!$B$5="Upside",'Assumptions'!$C$14,'Assumptions'!$C$13)))</x:f>
        <x:v>2500</x:v>
      </x:c>
      <x:c r="J27" s="49" t="n">
        <x:f>D27*E27/1000</x:f>
        <x:v>872.5</x:v>
      </x:c>
      <x:c r="K27" s="49" t="n">
        <x:f>H27*I27/1000</x:f>
        <x:v>872.5</x:v>
      </x:c>
      <x:c r="L27" s="50" t="n">
        <x:f>K27-J27</x:f>
        <x:v>0</x:v>
      </x:c>
    </x:row>
    <x:row r="28">
      <x:c r="A28" s="45" t="n">
        <x:v>46235</x:v>
      </x:c>
      <x:c r="B28" s="46" t="str">
        <x:v>Enterprise</x:v>
      </x:c>
      <x:c r="C28" s="46" t="str">
        <x:v>Forecast</x:v>
      </x:c>
      <x:c r="D28" s="47" t="n">
        <x:v>107</x:v>
      </x:c>
      <x:c r="E28" s="48" t="n">
        <x:v>6200</x:v>
      </x:c>
      <x:c r="F28" s="37"/>
      <x:c r="G28" s="37"/>
      <x:c r="H28" s="48" t="n">
        <x:f>IF(C28="Actual",F28,D28*IF('Assumptions'!$B$5="Downside",'Assumptions'!$B$12,IF('Assumptions'!$B$5="Upside",'Assumptions'!$B$14,'Assumptions'!$B$13)))</x:f>
        <x:v>107</x:v>
      </x:c>
      <x:c r="I28" s="48" t="n">
        <x:f>IF(C28="Actual",G28,E28*IF('Assumptions'!$B$5="Downside",'Assumptions'!$C$12,IF('Assumptions'!$B$5="Upside",'Assumptions'!$C$14,'Assumptions'!$C$13)))</x:f>
        <x:v>6200</x:v>
      </x:c>
      <x:c r="J28" s="49" t="n">
        <x:f>D28*E28/1000</x:f>
        <x:v>663.4</x:v>
      </x:c>
      <x:c r="K28" s="49" t="n">
        <x:f>H28*I28/1000</x:f>
        <x:v>663.4</x:v>
      </x:c>
      <x:c r="L28" s="50" t="n">
        <x:f>K28-J28</x:f>
        <x:v>0</x:v>
      </x:c>
    </x:row>
    <x:row r="29">
      <x:c r="A29" s="45" t="n">
        <x:v>46266</x:v>
      </x:c>
      <x:c r="B29" s="46" t="str">
        <x:v>Core</x:v>
      </x:c>
      <x:c r="C29" s="46" t="str">
        <x:v>Forecast</x:v>
      </x:c>
      <x:c r="D29" s="47" t="n">
        <x:v>858</x:v>
      </x:c>
      <x:c r="E29" s="48" t="n">
        <x:v>1200</x:v>
      </x:c>
      <x:c r="F29" s="37"/>
      <x:c r="G29" s="37"/>
      <x:c r="H29" s="48" t="n">
        <x:f>IF(C29="Actual",F29,D29*IF('Assumptions'!$B$5="Downside",'Assumptions'!$B$12,IF('Assumptions'!$B$5="Upside",'Assumptions'!$B$14,'Assumptions'!$B$13)))</x:f>
        <x:v>858</x:v>
      </x:c>
      <x:c r="I29" s="48" t="n">
        <x:f>IF(C29="Actual",G29,E29*IF('Assumptions'!$B$5="Downside",'Assumptions'!$C$12,IF('Assumptions'!$B$5="Upside",'Assumptions'!$C$14,'Assumptions'!$C$13)))</x:f>
        <x:v>1200</x:v>
      </x:c>
      <x:c r="J29" s="49" t="n">
        <x:f>D29*E29/1000</x:f>
        <x:v>1029.6</x:v>
      </x:c>
      <x:c r="K29" s="49" t="n">
        <x:f>H29*I29/1000</x:f>
        <x:v>1029.6</x:v>
      </x:c>
      <x:c r="L29" s="50" t="n">
        <x:f>K29-J29</x:f>
        <x:v>0</x:v>
      </x:c>
    </x:row>
    <x:row r="30">
      <x:c r="A30" s="45" t="n">
        <x:v>46266</x:v>
      </x:c>
      <x:c r="B30" s="46" t="str">
        <x:v>Pro</x:v>
      </x:c>
      <x:c r="C30" s="46" t="str">
        <x:v>Forecast</x:v>
      </x:c>
      <x:c r="D30" s="47" t="n">
        <x:v>355</x:v>
      </x:c>
      <x:c r="E30" s="48" t="n">
        <x:v>2500</x:v>
      </x:c>
      <x:c r="F30" s="37"/>
      <x:c r="G30" s="37"/>
      <x:c r="H30" s="48" t="n">
        <x:f>IF(C30="Actual",F30,D30*IF('Assumptions'!$B$5="Downside",'Assumptions'!$B$12,IF('Assumptions'!$B$5="Upside",'Assumptions'!$B$14,'Assumptions'!$B$13)))</x:f>
        <x:v>355</x:v>
      </x:c>
      <x:c r="I30" s="48" t="n">
        <x:f>IF(C30="Actual",G30,E30*IF('Assumptions'!$B$5="Downside",'Assumptions'!$C$12,IF('Assumptions'!$B$5="Upside",'Assumptions'!$C$14,'Assumptions'!$C$13)))</x:f>
        <x:v>2500</x:v>
      </x:c>
      <x:c r="J30" s="49" t="n">
        <x:f>D30*E30/1000</x:f>
        <x:v>887.5</x:v>
      </x:c>
      <x:c r="K30" s="49" t="n">
        <x:f>H30*I30/1000</x:f>
        <x:v>887.5</x:v>
      </x:c>
      <x:c r="L30" s="50" t="n">
        <x:f>K30-J30</x:f>
        <x:v>0</x:v>
      </x:c>
    </x:row>
    <x:row r="31">
      <x:c r="A31" s="45" t="n">
        <x:v>46266</x:v>
      </x:c>
      <x:c r="B31" s="46" t="str">
        <x:v>Enterprise</x:v>
      </x:c>
      <x:c r="C31" s="46" t="str">
        <x:v>Forecast</x:v>
      </x:c>
      <x:c r="D31" s="47" t="n">
        <x:v>133</x:v>
      </x:c>
      <x:c r="E31" s="48" t="n">
        <x:v>6200</x:v>
      </x:c>
      <x:c r="F31" s="37"/>
      <x:c r="G31" s="37"/>
      <x:c r="H31" s="48" t="n">
        <x:f>IF(C31="Actual",F31,D31*IF('Assumptions'!$B$5="Downside",'Assumptions'!$B$12,IF('Assumptions'!$B$5="Upside",'Assumptions'!$B$14,'Assumptions'!$B$13)))</x:f>
        <x:v>133</x:v>
      </x:c>
      <x:c r="I31" s="48" t="n">
        <x:f>IF(C31="Actual",G31,E31*IF('Assumptions'!$B$5="Downside",'Assumptions'!$C$12,IF('Assumptions'!$B$5="Upside",'Assumptions'!$C$14,'Assumptions'!$C$13)))</x:f>
        <x:v>6200</x:v>
      </x:c>
      <x:c r="J31" s="49" t="n">
        <x:f>D31*E31/1000</x:f>
        <x:v>824.6</x:v>
      </x:c>
      <x:c r="K31" s="49" t="n">
        <x:f>H31*I31/1000</x:f>
        <x:v>824.6</x:v>
      </x:c>
      <x:c r="L31" s="50" t="n">
        <x:f>K31-J31</x:f>
        <x:v>0</x:v>
      </x:c>
    </x:row>
    <x:row r="32">
      <x:c r="A32" s="45" t="n">
        <x:v>46296</x:v>
      </x:c>
      <x:c r="B32" s="46" t="str">
        <x:v>Core</x:v>
      </x:c>
      <x:c r="C32" s="46" t="str">
        <x:v>Forecast</x:v>
      </x:c>
      <x:c r="D32" s="47" t="n">
        <x:v>871</x:v>
      </x:c>
      <x:c r="E32" s="48" t="n">
        <x:v>1200</x:v>
      </x:c>
      <x:c r="F32" s="37"/>
      <x:c r="G32" s="37"/>
      <x:c r="H32" s="48" t="n">
        <x:f>IF(C32="Actual",F32,D32*IF('Assumptions'!$B$5="Downside",'Assumptions'!$B$12,IF('Assumptions'!$B$5="Upside",'Assumptions'!$B$14,'Assumptions'!$B$13)))</x:f>
        <x:v>871</x:v>
      </x:c>
      <x:c r="I32" s="48" t="n">
        <x:f>IF(C32="Actual",G32,E32*IF('Assumptions'!$B$5="Downside",'Assumptions'!$C$12,IF('Assumptions'!$B$5="Upside",'Assumptions'!$C$14,'Assumptions'!$C$13)))</x:f>
        <x:v>1200</x:v>
      </x:c>
      <x:c r="J32" s="49" t="n">
        <x:f>D32*E32/1000</x:f>
        <x:v>1045.2</x:v>
      </x:c>
      <x:c r="K32" s="49" t="n">
        <x:f>H32*I32/1000</x:f>
        <x:v>1045.2</x:v>
      </x:c>
      <x:c r="L32" s="50" t="n">
        <x:f>K32-J32</x:f>
        <x:v>0</x:v>
      </x:c>
    </x:row>
    <x:row r="33">
      <x:c r="A33" s="45" t="n">
        <x:v>46296</x:v>
      </x:c>
      <x:c r="B33" s="46" t="str">
        <x:v>Pro</x:v>
      </x:c>
      <x:c r="C33" s="46" t="str">
        <x:v>Forecast</x:v>
      </x:c>
      <x:c r="D33" s="47" t="n">
        <x:v>389</x:v>
      </x:c>
      <x:c r="E33" s="48" t="n">
        <x:v>2500</x:v>
      </x:c>
      <x:c r="F33" s="37"/>
      <x:c r="G33" s="37"/>
      <x:c r="H33" s="48" t="n">
        <x:f>IF(C33="Actual",F33,D33*IF('Assumptions'!$B$5="Downside",'Assumptions'!$B$12,IF('Assumptions'!$B$5="Upside",'Assumptions'!$B$14,'Assumptions'!$B$13)))</x:f>
        <x:v>389</x:v>
      </x:c>
      <x:c r="I33" s="48" t="n">
        <x:f>IF(C33="Actual",G33,E33*IF('Assumptions'!$B$5="Downside",'Assumptions'!$C$12,IF('Assumptions'!$B$5="Upside",'Assumptions'!$C$14,'Assumptions'!$C$13)))</x:f>
        <x:v>2500</x:v>
      </x:c>
      <x:c r="J33" s="49" t="n">
        <x:f>D33*E33/1000</x:f>
        <x:v>972.5</x:v>
      </x:c>
      <x:c r="K33" s="49" t="n">
        <x:f>H33*I33/1000</x:f>
        <x:v>972.5</x:v>
      </x:c>
      <x:c r="L33" s="50" t="n">
        <x:f>K33-J33</x:f>
        <x:v>0</x:v>
      </x:c>
    </x:row>
    <x:row r="34">
      <x:c r="A34" s="45" t="n">
        <x:v>46296</x:v>
      </x:c>
      <x:c r="B34" s="46" t="str">
        <x:v>Enterprise</x:v>
      </x:c>
      <x:c r="C34" s="46" t="str">
        <x:v>Forecast</x:v>
      </x:c>
      <x:c r="D34" s="47" t="n">
        <x:v>110</x:v>
      </x:c>
      <x:c r="E34" s="48" t="n">
        <x:v>6200</x:v>
      </x:c>
      <x:c r="F34" s="37"/>
      <x:c r="G34" s="37"/>
      <x:c r="H34" s="48" t="n">
        <x:f>IF(C34="Actual",F34,D34*IF('Assumptions'!$B$5="Downside",'Assumptions'!$B$12,IF('Assumptions'!$B$5="Upside",'Assumptions'!$B$14,'Assumptions'!$B$13)))</x:f>
        <x:v>110</x:v>
      </x:c>
      <x:c r="I34" s="48" t="n">
        <x:f>IF(C34="Actual",G34,E34*IF('Assumptions'!$B$5="Downside",'Assumptions'!$C$12,IF('Assumptions'!$B$5="Upside",'Assumptions'!$C$14,'Assumptions'!$C$13)))</x:f>
        <x:v>6200</x:v>
      </x:c>
      <x:c r="J34" s="49" t="n">
        <x:f>D34*E34/1000</x:f>
        <x:v>682</x:v>
      </x:c>
      <x:c r="K34" s="49" t="n">
        <x:f>H34*I34/1000</x:f>
        <x:v>682</x:v>
      </x:c>
      <x:c r="L34" s="50" t="n">
        <x:f>K34-J34</x:f>
        <x:v>0</x:v>
      </x:c>
    </x:row>
    <x:row r="35">
      <x:c r="A35" s="45" t="n">
        <x:v>46327</x:v>
      </x:c>
      <x:c r="B35" s="46" t="str">
        <x:v>Core</x:v>
      </x:c>
      <x:c r="C35" s="46" t="str">
        <x:v>Forecast</x:v>
      </x:c>
      <x:c r="D35" s="47" t="n">
        <x:v>885</x:v>
      </x:c>
      <x:c r="E35" s="48" t="n">
        <x:v>1200</x:v>
      </x:c>
      <x:c r="F35" s="37"/>
      <x:c r="G35" s="37"/>
      <x:c r="H35" s="48" t="n">
        <x:f>IF(C35="Actual",F35,D35*IF('Assumptions'!$B$5="Downside",'Assumptions'!$B$12,IF('Assumptions'!$B$5="Upside",'Assumptions'!$B$14,'Assumptions'!$B$13)))</x:f>
        <x:v>885</x:v>
      </x:c>
      <x:c r="I35" s="48" t="n">
        <x:f>IF(C35="Actual",G35,E35*IF('Assumptions'!$B$5="Downside",'Assumptions'!$C$12,IF('Assumptions'!$B$5="Upside",'Assumptions'!$C$14,'Assumptions'!$C$13)))</x:f>
        <x:v>1200</x:v>
      </x:c>
      <x:c r="J35" s="49" t="n">
        <x:f>D35*E35/1000</x:f>
        <x:v>1062</x:v>
      </x:c>
      <x:c r="K35" s="49" t="n">
        <x:f>H35*I35/1000</x:f>
        <x:v>1062</x:v>
      </x:c>
      <x:c r="L35" s="50" t="n">
        <x:f>K35-J35</x:f>
        <x:v>0</x:v>
      </x:c>
    </x:row>
    <x:row r="36">
      <x:c r="A36" s="45" t="n">
        <x:v>46327</x:v>
      </x:c>
      <x:c r="B36" s="46" t="str">
        <x:v>Pro</x:v>
      </x:c>
      <x:c r="C36" s="46" t="str">
        <x:v>Forecast</x:v>
      </x:c>
      <x:c r="D36" s="47" t="n">
        <x:v>395</x:v>
      </x:c>
      <x:c r="E36" s="48" t="n">
        <x:v>2500</x:v>
      </x:c>
      <x:c r="F36" s="37"/>
      <x:c r="G36" s="37"/>
      <x:c r="H36" s="48" t="n">
        <x:f>IF(C36="Actual",F36,D36*IF('Assumptions'!$B$5="Downside",'Assumptions'!$B$12,IF('Assumptions'!$B$5="Upside",'Assumptions'!$B$14,'Assumptions'!$B$13)))</x:f>
        <x:v>395</x:v>
      </x:c>
      <x:c r="I36" s="48" t="n">
        <x:f>IF(C36="Actual",G36,E36*IF('Assumptions'!$B$5="Downside",'Assumptions'!$C$12,IF('Assumptions'!$B$5="Upside",'Assumptions'!$C$14,'Assumptions'!$C$13)))</x:f>
        <x:v>2500</x:v>
      </x:c>
      <x:c r="J36" s="49" t="n">
        <x:f>D36*E36/1000</x:f>
        <x:v>987.5</x:v>
      </x:c>
      <x:c r="K36" s="49" t="n">
        <x:f>H36*I36/1000</x:f>
        <x:v>987.5</x:v>
      </x:c>
      <x:c r="L36" s="50" t="n">
        <x:f>K36-J36</x:f>
        <x:v>0</x:v>
      </x:c>
    </x:row>
    <x:row r="37">
      <x:c r="A37" s="45" t="n">
        <x:v>46327</x:v>
      </x:c>
      <x:c r="B37" s="46" t="str">
        <x:v>Enterprise</x:v>
      </x:c>
      <x:c r="C37" s="46" t="str">
        <x:v>Forecast</x:v>
      </x:c>
      <x:c r="D37" s="47" t="n">
        <x:v>112</x:v>
      </x:c>
      <x:c r="E37" s="48" t="n">
        <x:v>6200</x:v>
      </x:c>
      <x:c r="F37" s="37"/>
      <x:c r="G37" s="37"/>
      <x:c r="H37" s="48" t="n">
        <x:f>IF(C37="Actual",F37,D37*IF('Assumptions'!$B$5="Downside",'Assumptions'!$B$12,IF('Assumptions'!$B$5="Upside",'Assumptions'!$B$14,'Assumptions'!$B$13)))</x:f>
        <x:v>112</x:v>
      </x:c>
      <x:c r="I37" s="48" t="n">
        <x:f>IF(C37="Actual",G37,E37*IF('Assumptions'!$B$5="Downside",'Assumptions'!$C$12,IF('Assumptions'!$B$5="Upside",'Assumptions'!$C$14,'Assumptions'!$C$13)))</x:f>
        <x:v>6200</x:v>
      </x:c>
      <x:c r="J37" s="49" t="n">
        <x:f>D37*E37/1000</x:f>
        <x:v>694.4</x:v>
      </x:c>
      <x:c r="K37" s="49" t="n">
        <x:f>H37*I37/1000</x:f>
        <x:v>694.4</x:v>
      </x:c>
      <x:c r="L37" s="50" t="n">
        <x:f>K37-J37</x:f>
        <x:v>0</x:v>
      </x:c>
    </x:row>
    <x:row r="38">
      <x:c r="A38" s="45" t="n">
        <x:v>46357</x:v>
      </x:c>
      <x:c r="B38" s="46" t="str">
        <x:v>Core</x:v>
      </x:c>
      <x:c r="C38" s="46" t="str">
        <x:v>Forecast</x:v>
      </x:c>
      <x:c r="D38" s="47" t="n">
        <x:v>899</x:v>
      </x:c>
      <x:c r="E38" s="48" t="n">
        <x:v>1200</x:v>
      </x:c>
      <x:c r="F38" s="37"/>
      <x:c r="G38" s="37"/>
      <x:c r="H38" s="48" t="n">
        <x:f>IF(C38="Actual",F38,D38*IF('Assumptions'!$B$5="Downside",'Assumptions'!$B$12,IF('Assumptions'!$B$5="Upside",'Assumptions'!$B$14,'Assumptions'!$B$13)))</x:f>
        <x:v>899</x:v>
      </x:c>
      <x:c r="I38" s="48" t="n">
        <x:f>IF(C38="Actual",G38,E38*IF('Assumptions'!$B$5="Downside",'Assumptions'!$C$12,IF('Assumptions'!$B$5="Upside",'Assumptions'!$C$14,'Assumptions'!$C$13)))</x:f>
        <x:v>1200</x:v>
      </x:c>
      <x:c r="J38" s="49" t="n">
        <x:f>D38*E38/1000</x:f>
        <x:v>1078.8</x:v>
      </x:c>
      <x:c r="K38" s="49" t="n">
        <x:f>H38*I38/1000</x:f>
        <x:v>1078.8</x:v>
      </x:c>
      <x:c r="L38" s="50" t="n">
        <x:f>K38-J38</x:f>
        <x:v>0</x:v>
      </x:c>
    </x:row>
    <x:row r="39">
      <x:c r="A39" s="45" t="n">
        <x:v>46357</x:v>
      </x:c>
      <x:c r="B39" s="46" t="str">
        <x:v>Pro</x:v>
      </x:c>
      <x:c r="C39" s="46" t="str">
        <x:v>Forecast</x:v>
      </x:c>
      <x:c r="D39" s="47" t="n">
        <x:v>401</x:v>
      </x:c>
      <x:c r="E39" s="48" t="n">
        <x:v>2500</x:v>
      </x:c>
      <x:c r="F39" s="37"/>
      <x:c r="G39" s="37"/>
      <x:c r="H39" s="48" t="n">
        <x:f>IF(C39="Actual",F39,D39*IF('Assumptions'!$B$5="Downside",'Assumptions'!$B$12,IF('Assumptions'!$B$5="Upside",'Assumptions'!$B$14,'Assumptions'!$B$13)))</x:f>
        <x:v>401</x:v>
      </x:c>
      <x:c r="I39" s="48" t="n">
        <x:f>IF(C39="Actual",G39,E39*IF('Assumptions'!$B$5="Downside",'Assumptions'!$C$12,IF('Assumptions'!$B$5="Upside",'Assumptions'!$C$14,'Assumptions'!$C$13)))</x:f>
        <x:v>2500</x:v>
      </x:c>
      <x:c r="J39" s="49" t="n">
        <x:f>D39*E39/1000</x:f>
        <x:v>1002.5</x:v>
      </x:c>
      <x:c r="K39" s="49" t="n">
        <x:f>H39*I39/1000</x:f>
        <x:v>1002.5</x:v>
      </x:c>
      <x:c r="L39" s="50" t="n">
        <x:f>K39-J39</x:f>
        <x:v>0</x:v>
      </x:c>
    </x:row>
    <x:row r="40">
      <x:c r="A40" s="45" t="n">
        <x:v>46357</x:v>
      </x:c>
      <x:c r="B40" s="46" t="str">
        <x:v>Enterprise</x:v>
      </x:c>
      <x:c r="C40" s="46" t="str">
        <x:v>Forecast</x:v>
      </x:c>
      <x:c r="D40" s="47" t="n">
        <x:v>139</x:v>
      </x:c>
      <x:c r="E40" s="48" t="n">
        <x:v>6200</x:v>
      </x:c>
      <x:c r="F40" s="37"/>
      <x:c r="G40" s="37"/>
      <x:c r="H40" s="48" t="n">
        <x:f>IF(C40="Actual",F40,D40*IF('Assumptions'!$B$5="Downside",'Assumptions'!$B$12,IF('Assumptions'!$B$5="Upside",'Assumptions'!$B$14,'Assumptions'!$B$13)))</x:f>
        <x:v>139</x:v>
      </x:c>
      <x:c r="I40" s="48" t="n">
        <x:f>IF(C40="Actual",G40,E40*IF('Assumptions'!$B$5="Downside",'Assumptions'!$C$12,IF('Assumptions'!$B$5="Upside",'Assumptions'!$C$14,'Assumptions'!$C$13)))</x:f>
        <x:v>6200</x:v>
      </x:c>
      <x:c r="J40" s="49" t="n">
        <x:f>D40*E40/1000</x:f>
        <x:v>861.8</x:v>
      </x:c>
      <x:c r="K40" s="49" t="n">
        <x:f>H40*I40/1000</x:f>
        <x:v>861.8</x:v>
      </x:c>
      <x:c r="L40" s="50" t="n">
        <x:f>K40-J40</x:f>
        <x:v>0</x:v>
      </x:c>
    </x:row>
    <x:row r="41">
      <x:c r="A41" s="45" t="n">
        <x:v>46388</x:v>
      </x:c>
      <x:c r="B41" s="46" t="str">
        <x:v>Core</x:v>
      </x:c>
      <x:c r="C41" s="46" t="str">
        <x:v>Forecast</x:v>
      </x:c>
      <x:c r="D41" s="47" t="n">
        <x:v>912</x:v>
      </x:c>
      <x:c r="E41" s="48" t="n">
        <x:v>1200</x:v>
      </x:c>
      <x:c r="F41" s="37"/>
      <x:c r="G41" s="37"/>
      <x:c r="H41" s="48" t="n">
        <x:f>IF(C41="Actual",F41,D41*IF('Assumptions'!$B$5="Downside",'Assumptions'!$B$12,IF('Assumptions'!$B$5="Upside",'Assumptions'!$B$14,'Assumptions'!$B$13)))</x:f>
        <x:v>912</x:v>
      </x:c>
      <x:c r="I41" s="48" t="n">
        <x:f>IF(C41="Actual",G41,E41*IF('Assumptions'!$B$5="Downside",'Assumptions'!$C$12,IF('Assumptions'!$B$5="Upside",'Assumptions'!$C$14,'Assumptions'!$C$13)))</x:f>
        <x:v>1200</x:v>
      </x:c>
      <x:c r="J41" s="49" t="n">
        <x:f>D41*E41/1000</x:f>
        <x:v>1094.4</x:v>
      </x:c>
      <x:c r="K41" s="49" t="n">
        <x:f>H41*I41/1000</x:f>
        <x:v>1094.4</x:v>
      </x:c>
      <x:c r="L41" s="50" t="n">
        <x:f>K41-J41</x:f>
        <x:v>0</x:v>
      </x:c>
    </x:row>
    <x:row r="42">
      <x:c r="A42" s="45" t="n">
        <x:v>46388</x:v>
      </x:c>
      <x:c r="B42" s="46" t="str">
        <x:v>Pro</x:v>
      </x:c>
      <x:c r="C42" s="46" t="str">
        <x:v>Forecast</x:v>
      </x:c>
      <x:c r="D42" s="47" t="n">
        <x:v>377</x:v>
      </x:c>
      <x:c r="E42" s="48" t="n">
        <x:v>2500</x:v>
      </x:c>
      <x:c r="F42" s="37"/>
      <x:c r="G42" s="37"/>
      <x:c r="H42" s="48" t="n">
        <x:f>IF(C42="Actual",F42,D42*IF('Assumptions'!$B$5="Downside",'Assumptions'!$B$12,IF('Assumptions'!$B$5="Upside",'Assumptions'!$B$14,'Assumptions'!$B$13)))</x:f>
        <x:v>377</x:v>
      </x:c>
      <x:c r="I42" s="48" t="n">
        <x:f>IF(C42="Actual",G42,E42*IF('Assumptions'!$B$5="Downside",'Assumptions'!$C$12,IF('Assumptions'!$B$5="Upside",'Assumptions'!$C$14,'Assumptions'!$C$13)))</x:f>
        <x:v>2500</x:v>
      </x:c>
      <x:c r="J42" s="49" t="n">
        <x:f>D42*E42/1000</x:f>
        <x:v>942.5</x:v>
      </x:c>
      <x:c r="K42" s="49" t="n">
        <x:f>H42*I42/1000</x:f>
        <x:v>942.5</x:v>
      </x:c>
      <x:c r="L42" s="50" t="n">
        <x:f>K42-J42</x:f>
        <x:v>0</x:v>
      </x:c>
    </x:row>
    <x:row r="43">
      <x:c r="A43" s="45" t="n">
        <x:v>46388</x:v>
      </x:c>
      <x:c r="B43" s="46" t="str">
        <x:v>Enterprise</x:v>
      </x:c>
      <x:c r="C43" s="46" t="str">
        <x:v>Forecast</x:v>
      </x:c>
      <x:c r="D43" s="47" t="n">
        <x:v>116</x:v>
      </x:c>
      <x:c r="E43" s="48" t="n">
        <x:v>6200</x:v>
      </x:c>
      <x:c r="F43" s="37"/>
      <x:c r="G43" s="37"/>
      <x:c r="H43" s="48" t="n">
        <x:f>IF(C43="Actual",F43,D43*IF('Assumptions'!$B$5="Downside",'Assumptions'!$B$12,IF('Assumptions'!$B$5="Upside",'Assumptions'!$B$14,'Assumptions'!$B$13)))</x:f>
        <x:v>116</x:v>
      </x:c>
      <x:c r="I43" s="48" t="n">
        <x:f>IF(C43="Actual",G43,E43*IF('Assumptions'!$B$5="Downside",'Assumptions'!$C$12,IF('Assumptions'!$B$5="Upside",'Assumptions'!$C$14,'Assumptions'!$C$13)))</x:f>
        <x:v>6200</x:v>
      </x:c>
      <x:c r="J43" s="49" t="n">
        <x:f>D43*E43/1000</x:f>
        <x:v>719.2</x:v>
      </x:c>
      <x:c r="K43" s="49" t="n">
        <x:f>H43*I43/1000</x:f>
        <x:v>719.2</x:v>
      </x:c>
      <x:c r="L43" s="50" t="n">
        <x:f>K43-J43</x:f>
        <x:v>0</x:v>
      </x:c>
    </x:row>
    <x:row r="44">
      <x:c r="A44" s="45" t="n">
        <x:v>46419</x:v>
      </x:c>
      <x:c r="B44" s="46" t="str">
        <x:v>Core</x:v>
      </x:c>
      <x:c r="C44" s="46" t="str">
        <x:v>Forecast</x:v>
      </x:c>
      <x:c r="D44" s="47" t="n">
        <x:v>926</x:v>
      </x:c>
      <x:c r="E44" s="48" t="n">
        <x:v>1200</x:v>
      </x:c>
      <x:c r="F44" s="37"/>
      <x:c r="G44" s="37"/>
      <x:c r="H44" s="48" t="n">
        <x:f>IF(C44="Actual",F44,D44*IF('Assumptions'!$B$5="Downside",'Assumptions'!$B$12,IF('Assumptions'!$B$5="Upside",'Assumptions'!$B$14,'Assumptions'!$B$13)))</x:f>
        <x:v>926</x:v>
      </x:c>
      <x:c r="I44" s="48" t="n">
        <x:f>IF(C44="Actual",G44,E44*IF('Assumptions'!$B$5="Downside",'Assumptions'!$C$12,IF('Assumptions'!$B$5="Upside",'Assumptions'!$C$14,'Assumptions'!$C$13)))</x:f>
        <x:v>1200</x:v>
      </x:c>
      <x:c r="J44" s="49" t="n">
        <x:f>D44*E44/1000</x:f>
        <x:v>1111.2</x:v>
      </x:c>
      <x:c r="K44" s="49" t="n">
        <x:f>H44*I44/1000</x:f>
        <x:v>1111.2</x:v>
      </x:c>
      <x:c r="L44" s="50" t="n">
        <x:f>K44-J44</x:f>
        <x:v>0</x:v>
      </x:c>
    </x:row>
    <x:row r="45">
      <x:c r="A45" s="45" t="n">
        <x:v>46419</x:v>
      </x:c>
      <x:c r="B45" s="46" t="str">
        <x:v>Pro</x:v>
      </x:c>
      <x:c r="C45" s="46" t="str">
        <x:v>Forecast</x:v>
      </x:c>
      <x:c r="D45" s="47" t="n">
        <x:v>383</x:v>
      </x:c>
      <x:c r="E45" s="48" t="n">
        <x:v>2500</x:v>
      </x:c>
      <x:c r="F45" s="37"/>
      <x:c r="G45" s="37"/>
      <x:c r="H45" s="48" t="n">
        <x:f>IF(C45="Actual",F45,D45*IF('Assumptions'!$B$5="Downside",'Assumptions'!$B$12,IF('Assumptions'!$B$5="Upside",'Assumptions'!$B$14,'Assumptions'!$B$13)))</x:f>
        <x:v>383</x:v>
      </x:c>
      <x:c r="I45" s="48" t="n">
        <x:f>IF(C45="Actual",G45,E45*IF('Assumptions'!$B$5="Downside",'Assumptions'!$C$12,IF('Assumptions'!$B$5="Upside",'Assumptions'!$C$14,'Assumptions'!$C$13)))</x:f>
        <x:v>2500</x:v>
      </x:c>
      <x:c r="J45" s="49" t="n">
        <x:f>D45*E45/1000</x:f>
        <x:v>957.5</x:v>
      </x:c>
      <x:c r="K45" s="49" t="n">
        <x:f>H45*I45/1000</x:f>
        <x:v>957.5</x:v>
      </x:c>
      <x:c r="L45" s="50" t="n">
        <x:f>K45-J45</x:f>
        <x:v>0</x:v>
      </x:c>
    </x:row>
    <x:row r="46">
      <x:c r="A46" s="45" t="n">
        <x:v>46419</x:v>
      </x:c>
      <x:c r="B46" s="46" t="str">
        <x:v>Enterprise</x:v>
      </x:c>
      <x:c r="C46" s="46" t="str">
        <x:v>Forecast</x:v>
      </x:c>
      <x:c r="D46" s="47" t="n">
        <x:v>117</x:v>
      </x:c>
      <x:c r="E46" s="48" t="n">
        <x:v>6200</x:v>
      </x:c>
      <x:c r="F46" s="37"/>
      <x:c r="G46" s="37"/>
      <x:c r="H46" s="48" t="n">
        <x:f>IF(C46="Actual",F46,D46*IF('Assumptions'!$B$5="Downside",'Assumptions'!$B$12,IF('Assumptions'!$B$5="Upside",'Assumptions'!$B$14,'Assumptions'!$B$13)))</x:f>
        <x:v>117</x:v>
      </x:c>
      <x:c r="I46" s="48" t="n">
        <x:f>IF(C46="Actual",G46,E46*IF('Assumptions'!$B$5="Downside",'Assumptions'!$C$12,IF('Assumptions'!$B$5="Upside",'Assumptions'!$C$14,'Assumptions'!$C$13)))</x:f>
        <x:v>6200</x:v>
      </x:c>
      <x:c r="J46" s="49" t="n">
        <x:f>D46*E46/1000</x:f>
        <x:v>725.4</x:v>
      </x:c>
      <x:c r="K46" s="49" t="n">
        <x:f>H46*I46/1000</x:f>
        <x:v>725.4</x:v>
      </x:c>
      <x:c r="L46" s="50" t="n">
        <x:f>K46-J46</x:f>
        <x:v>0</x:v>
      </x:c>
    </x:row>
    <x:row r="47">
      <x:c r="A47" s="45" t="n">
        <x:v>46447</x:v>
      </x:c>
      <x:c r="B47" s="46" t="str">
        <x:v>Core</x:v>
      </x:c>
      <x:c r="C47" s="46" t="str">
        <x:v>Forecast</x:v>
      </x:c>
      <x:c r="D47" s="47" t="n">
        <x:v>939</x:v>
      </x:c>
      <x:c r="E47" s="48" t="n">
        <x:v>1200</x:v>
      </x:c>
      <x:c r="F47" s="37"/>
      <x:c r="G47" s="37"/>
      <x:c r="H47" s="48" t="n">
        <x:f>IF(C47="Actual",F47,D47*IF('Assumptions'!$B$5="Downside",'Assumptions'!$B$12,IF('Assumptions'!$B$5="Upside",'Assumptions'!$B$14,'Assumptions'!$B$13)))</x:f>
        <x:v>939</x:v>
      </x:c>
      <x:c r="I47" s="48" t="n">
        <x:f>IF(C47="Actual",G47,E47*IF('Assumptions'!$B$5="Downside",'Assumptions'!$C$12,IF('Assumptions'!$B$5="Upside",'Assumptions'!$C$14,'Assumptions'!$C$13)))</x:f>
        <x:v>1200</x:v>
      </x:c>
      <x:c r="J47" s="49" t="n">
        <x:f>D47*E47/1000</x:f>
        <x:v>1126.8</x:v>
      </x:c>
      <x:c r="K47" s="49" t="n">
        <x:f>H47*I47/1000</x:f>
        <x:v>1126.8</x:v>
      </x:c>
      <x:c r="L47" s="50" t="n">
        <x:f>K47-J47</x:f>
        <x:v>0</x:v>
      </x:c>
    </x:row>
    <x:row r="48">
      <x:c r="A48" s="45" t="n">
        <x:v>46447</x:v>
      </x:c>
      <x:c r="B48" s="46" t="str">
        <x:v>Pro</x:v>
      </x:c>
      <x:c r="C48" s="46" t="str">
        <x:v>Forecast</x:v>
      </x:c>
      <x:c r="D48" s="47" t="n">
        <x:v>388</x:v>
      </x:c>
      <x:c r="E48" s="48" t="n">
        <x:v>2500</x:v>
      </x:c>
      <x:c r="F48" s="37"/>
      <x:c r="G48" s="37"/>
      <x:c r="H48" s="48" t="n">
        <x:f>IF(C48="Actual",F48,D48*IF('Assumptions'!$B$5="Downside",'Assumptions'!$B$12,IF('Assumptions'!$B$5="Upside",'Assumptions'!$B$14,'Assumptions'!$B$13)))</x:f>
        <x:v>388</x:v>
      </x:c>
      <x:c r="I48" s="48" t="n">
        <x:f>IF(C48="Actual",G48,E48*IF('Assumptions'!$B$5="Downside",'Assumptions'!$C$12,IF('Assumptions'!$B$5="Upside",'Assumptions'!$C$14,'Assumptions'!$C$13)))</x:f>
        <x:v>2500</x:v>
      </x:c>
      <x:c r="J48" s="49" t="n">
        <x:f>D48*E48/1000</x:f>
        <x:v>970</x:v>
      </x:c>
      <x:c r="K48" s="49" t="n">
        <x:f>H48*I48/1000</x:f>
        <x:v>970</x:v>
      </x:c>
      <x:c r="L48" s="50" t="n">
        <x:f>K48-J48</x:f>
        <x:v>0</x:v>
      </x:c>
    </x:row>
    <x:row r="49">
      <x:c r="A49" s="45" t="n">
        <x:v>46447</x:v>
      </x:c>
      <x:c r="B49" s="46" t="str">
        <x:v>Enterprise</x:v>
      </x:c>
      <x:c r="C49" s="46" t="str">
        <x:v>Forecast</x:v>
      </x:c>
      <x:c r="D49" s="47" t="n">
        <x:v>145</x:v>
      </x:c>
      <x:c r="E49" s="48" t="n">
        <x:v>6200</x:v>
      </x:c>
      <x:c r="F49" s="37"/>
      <x:c r="G49" s="37"/>
      <x:c r="H49" s="48" t="n">
        <x:f>IF(C49="Actual",F49,D49*IF('Assumptions'!$B$5="Downside",'Assumptions'!$B$12,IF('Assumptions'!$B$5="Upside",'Assumptions'!$B$14,'Assumptions'!$B$13)))</x:f>
        <x:v>145</x:v>
      </x:c>
      <x:c r="I49" s="48" t="n">
        <x:f>IF(C49="Actual",G49,E49*IF('Assumptions'!$B$5="Downside",'Assumptions'!$C$12,IF('Assumptions'!$B$5="Upside",'Assumptions'!$C$14,'Assumptions'!$C$13)))</x:f>
        <x:v>6200</x:v>
      </x:c>
      <x:c r="J49" s="49" t="n">
        <x:f>D49*E49/1000</x:f>
        <x:v>899</x:v>
      </x:c>
      <x:c r="K49" s="49" t="n">
        <x:f>H49*I49/1000</x:f>
        <x:v>899</x:v>
      </x:c>
      <x:c r="L49" s="50" t="n">
        <x:f>K49-J49</x:f>
        <x:v>0</x:v>
      </x:c>
    </x:row>
    <x:row r="50">
      <x:c r="A50" s="45" t="n">
        <x:v>46478</x:v>
      </x:c>
      <x:c r="B50" s="46" t="str">
        <x:v>Core</x:v>
      </x:c>
      <x:c r="C50" s="46" t="str">
        <x:v>Forecast</x:v>
      </x:c>
      <x:c r="D50" s="47" t="n">
        <x:v>953</x:v>
      </x:c>
      <x:c r="E50" s="48" t="n">
        <x:v>1200</x:v>
      </x:c>
      <x:c r="F50" s="37"/>
      <x:c r="G50" s="37"/>
      <x:c r="H50" s="48" t="n">
        <x:f>IF(C50="Actual",F50,D50*IF('Assumptions'!$B$5="Downside",'Assumptions'!$B$12,IF('Assumptions'!$B$5="Upside",'Assumptions'!$B$14,'Assumptions'!$B$13)))</x:f>
        <x:v>953</x:v>
      </x:c>
      <x:c r="I50" s="48" t="n">
        <x:f>IF(C50="Actual",G50,E50*IF('Assumptions'!$B$5="Downside",'Assumptions'!$C$12,IF('Assumptions'!$B$5="Upside",'Assumptions'!$C$14,'Assumptions'!$C$13)))</x:f>
        <x:v>1200</x:v>
      </x:c>
      <x:c r="J50" s="49" t="n">
        <x:f>D50*E50/1000</x:f>
        <x:v>1143.6</x:v>
      </x:c>
      <x:c r="K50" s="49" t="n">
        <x:f>H50*I50/1000</x:f>
        <x:v>1143.6</x:v>
      </x:c>
      <x:c r="L50" s="50" t="n">
        <x:f>K50-J50</x:f>
        <x:v>0</x:v>
      </x:c>
    </x:row>
    <x:row r="51">
      <x:c r="A51" s="45" t="n">
        <x:v>46478</x:v>
      </x:c>
      <x:c r="B51" s="46" t="str">
        <x:v>Pro</x:v>
      </x:c>
      <x:c r="C51" s="46" t="str">
        <x:v>Forecast</x:v>
      </x:c>
      <x:c r="D51" s="47" t="n">
        <x:v>394</x:v>
      </x:c>
      <x:c r="E51" s="48" t="n">
        <x:v>2500</x:v>
      </x:c>
      <x:c r="F51" s="37"/>
      <x:c r="G51" s="37"/>
      <x:c r="H51" s="48" t="n">
        <x:f>IF(C51="Actual",F51,D51*IF('Assumptions'!$B$5="Downside",'Assumptions'!$B$12,IF('Assumptions'!$B$5="Upside",'Assumptions'!$B$14,'Assumptions'!$B$13)))</x:f>
        <x:v>394</x:v>
      </x:c>
      <x:c r="I51" s="48" t="n">
        <x:f>IF(C51="Actual",G51,E51*IF('Assumptions'!$B$5="Downside",'Assumptions'!$C$12,IF('Assumptions'!$B$5="Upside",'Assumptions'!$C$14,'Assumptions'!$C$13)))</x:f>
        <x:v>2500</x:v>
      </x:c>
      <x:c r="J51" s="49" t="n">
        <x:f>D51*E51/1000</x:f>
        <x:v>985</x:v>
      </x:c>
      <x:c r="K51" s="49" t="n">
        <x:f>H51*I51/1000</x:f>
        <x:v>985</x:v>
      </x:c>
      <x:c r="L51" s="50" t="n">
        <x:f>K51-J51</x:f>
        <x:v>0</x:v>
      </x:c>
    </x:row>
    <x:row r="52">
      <x:c r="A52" s="45" t="n">
        <x:v>46478</x:v>
      </x:c>
      <x:c r="B52" s="46" t="str">
        <x:v>Enterprise</x:v>
      </x:c>
      <x:c r="C52" s="46" t="str">
        <x:v>Forecast</x:v>
      </x:c>
      <x:c r="D52" s="47" t="n">
        <x:v>121</x:v>
      </x:c>
      <x:c r="E52" s="48" t="n">
        <x:v>6200</x:v>
      </x:c>
      <x:c r="F52" s="37"/>
      <x:c r="G52" s="37"/>
      <x:c r="H52" s="48" t="n">
        <x:f>IF(C52="Actual",F52,D52*IF('Assumptions'!$B$5="Downside",'Assumptions'!$B$12,IF('Assumptions'!$B$5="Upside",'Assumptions'!$B$14,'Assumptions'!$B$13)))</x:f>
        <x:v>121</x:v>
      </x:c>
      <x:c r="I52" s="48" t="n">
        <x:f>IF(C52="Actual",G52,E52*IF('Assumptions'!$B$5="Downside",'Assumptions'!$C$12,IF('Assumptions'!$B$5="Upside",'Assumptions'!$C$14,'Assumptions'!$C$13)))</x:f>
        <x:v>6200</x:v>
      </x:c>
      <x:c r="J52" s="49" t="n">
        <x:f>D52*E52/1000</x:f>
        <x:v>750.2</x:v>
      </x:c>
      <x:c r="K52" s="49" t="n">
        <x:f>H52*I52/1000</x:f>
        <x:v>750.2</x:v>
      </x:c>
      <x:c r="L52" s="50" t="n">
        <x:f>K52-J52</x:f>
        <x:v>0</x:v>
      </x:c>
    </x:row>
    <x:row r="53">
      <x:c r="A53" s="45" t="n">
        <x:v>46508</x:v>
      </x:c>
      <x:c r="B53" s="46" t="str">
        <x:v>Core</x:v>
      </x:c>
      <x:c r="C53" s="46" t="str">
        <x:v>Forecast</x:v>
      </x:c>
      <x:c r="D53" s="47" t="n">
        <x:v>966</x:v>
      </x:c>
      <x:c r="E53" s="48" t="n">
        <x:v>1200</x:v>
      </x:c>
      <x:c r="F53" s="37"/>
      <x:c r="G53" s="37"/>
      <x:c r="H53" s="48" t="n">
        <x:f>IF(C53="Actual",F53,D53*IF('Assumptions'!$B$5="Downside",'Assumptions'!$B$12,IF('Assumptions'!$B$5="Upside",'Assumptions'!$B$14,'Assumptions'!$B$13)))</x:f>
        <x:v>966</x:v>
      </x:c>
      <x:c r="I53" s="48" t="n">
        <x:f>IF(C53="Actual",G53,E53*IF('Assumptions'!$B$5="Downside",'Assumptions'!$C$12,IF('Assumptions'!$B$5="Upside",'Assumptions'!$C$14,'Assumptions'!$C$13)))</x:f>
        <x:v>1200</x:v>
      </x:c>
      <x:c r="J53" s="49" t="n">
        <x:f>D53*E53/1000</x:f>
        <x:v>1159.2</x:v>
      </x:c>
      <x:c r="K53" s="49" t="n">
        <x:f>H53*I53/1000</x:f>
        <x:v>1159.2</x:v>
      </x:c>
      <x:c r="L53" s="50" t="n">
        <x:f>K53-J53</x:f>
        <x:v>0</x:v>
      </x:c>
    </x:row>
    <x:row r="54">
      <x:c r="A54" s="45" t="n">
        <x:v>46508</x:v>
      </x:c>
      <x:c r="B54" s="46" t="str">
        <x:v>Pro</x:v>
      </x:c>
      <x:c r="C54" s="46" t="str">
        <x:v>Forecast</x:v>
      </x:c>
      <x:c r="D54" s="47" t="n">
        <x:v>399</x:v>
      </x:c>
      <x:c r="E54" s="48" t="n">
        <x:v>2500</x:v>
      </x:c>
      <x:c r="F54" s="37"/>
      <x:c r="G54" s="37"/>
      <x:c r="H54" s="48" t="n">
        <x:f>IF(C54="Actual",F54,D54*IF('Assumptions'!$B$5="Downside",'Assumptions'!$B$12,IF('Assumptions'!$B$5="Upside",'Assumptions'!$B$14,'Assumptions'!$B$13)))</x:f>
        <x:v>399</x:v>
      </x:c>
      <x:c r="I54" s="48" t="n">
        <x:f>IF(C54="Actual",G54,E54*IF('Assumptions'!$B$5="Downside",'Assumptions'!$C$12,IF('Assumptions'!$B$5="Upside",'Assumptions'!$C$14,'Assumptions'!$C$13)))</x:f>
        <x:v>2500</x:v>
      </x:c>
      <x:c r="J54" s="49" t="n">
        <x:f>D54*E54/1000</x:f>
        <x:v>997.5</x:v>
      </x:c>
      <x:c r="K54" s="49" t="n">
        <x:f>H54*I54/1000</x:f>
        <x:v>997.5</x:v>
      </x:c>
      <x:c r="L54" s="50" t="n">
        <x:f>K54-J54</x:f>
        <x:v>0</x:v>
      </x:c>
    </x:row>
    <x:row r="55">
      <x:c r="A55" s="45" t="n">
        <x:v>46508</x:v>
      </x:c>
      <x:c r="B55" s="46" t="str">
        <x:v>Enterprise</x:v>
      </x:c>
      <x:c r="C55" s="46" t="str">
        <x:v>Forecast</x:v>
      </x:c>
      <x:c r="D55" s="47" t="n">
        <x:v>122</x:v>
      </x:c>
      <x:c r="E55" s="48" t="n">
        <x:v>6200</x:v>
      </x:c>
      <x:c r="F55" s="37"/>
      <x:c r="G55" s="37"/>
      <x:c r="H55" s="48" t="n">
        <x:f>IF(C55="Actual",F55,D55*IF('Assumptions'!$B$5="Downside",'Assumptions'!$B$12,IF('Assumptions'!$B$5="Upside",'Assumptions'!$B$14,'Assumptions'!$B$13)))</x:f>
        <x:v>122</x:v>
      </x:c>
      <x:c r="I55" s="48" t="n">
        <x:f>IF(C55="Actual",G55,E55*IF('Assumptions'!$B$5="Downside",'Assumptions'!$C$12,IF('Assumptions'!$B$5="Upside",'Assumptions'!$C$14,'Assumptions'!$C$13)))</x:f>
        <x:v>6200</x:v>
      </x:c>
      <x:c r="J55" s="49" t="n">
        <x:f>D55*E55/1000</x:f>
        <x:v>756.4</x:v>
      </x:c>
      <x:c r="K55" s="49" t="n">
        <x:f>H55*I55/1000</x:f>
        <x:v>756.4</x:v>
      </x:c>
      <x:c r="L55" s="50" t="n">
        <x:f>K55-J55</x:f>
        <x:v>0</x:v>
      </x:c>
    </x:row>
    <x:row r="56">
      <x:c r="A56" s="45" t="n">
        <x:v>46539</x:v>
      </x:c>
      <x:c r="B56" s="46" t="str">
        <x:v>Core</x:v>
      </x:c>
      <x:c r="C56" s="46" t="str">
        <x:v>Forecast</x:v>
      </x:c>
      <x:c r="D56" s="47" t="n">
        <x:v>980</x:v>
      </x:c>
      <x:c r="E56" s="48" t="n">
        <x:v>1200</x:v>
      </x:c>
      <x:c r="F56" s="37"/>
      <x:c r="G56" s="37"/>
      <x:c r="H56" s="48" t="n">
        <x:f>IF(C56="Actual",F56,D56*IF('Assumptions'!$B$5="Downside",'Assumptions'!$B$12,IF('Assumptions'!$B$5="Upside",'Assumptions'!$B$14,'Assumptions'!$B$13)))</x:f>
        <x:v>980</x:v>
      </x:c>
      <x:c r="I56" s="48" t="n">
        <x:f>IF(C56="Actual",G56,E56*IF('Assumptions'!$B$5="Downside",'Assumptions'!$C$12,IF('Assumptions'!$B$5="Upside",'Assumptions'!$C$14,'Assumptions'!$C$13)))</x:f>
        <x:v>1200</x:v>
      </x:c>
      <x:c r="J56" s="49" t="n">
        <x:f>D56*E56/1000</x:f>
        <x:v>1176</x:v>
      </x:c>
      <x:c r="K56" s="49" t="n">
        <x:f>H56*I56/1000</x:f>
        <x:v>1176</x:v>
      </x:c>
      <x:c r="L56" s="50" t="n">
        <x:f>K56-J56</x:f>
        <x:v>0</x:v>
      </x:c>
    </x:row>
    <x:row r="57">
      <x:c r="A57" s="45" t="n">
        <x:v>46539</x:v>
      </x:c>
      <x:c r="B57" s="46" t="str">
        <x:v>Pro</x:v>
      </x:c>
      <x:c r="C57" s="46" t="str">
        <x:v>Forecast</x:v>
      </x:c>
      <x:c r="D57" s="47" t="n">
        <x:v>405</x:v>
      </x:c>
      <x:c r="E57" s="48" t="n">
        <x:v>2500</x:v>
      </x:c>
      <x:c r="F57" s="37"/>
      <x:c r="G57" s="37"/>
      <x:c r="H57" s="48" t="n">
        <x:f>IF(C57="Actual",F57,D57*IF('Assumptions'!$B$5="Downside",'Assumptions'!$B$12,IF('Assumptions'!$B$5="Upside",'Assumptions'!$B$14,'Assumptions'!$B$13)))</x:f>
        <x:v>405</x:v>
      </x:c>
      <x:c r="I57" s="48" t="n">
        <x:f>IF(C57="Actual",G57,E57*IF('Assumptions'!$B$5="Downside",'Assumptions'!$C$12,IF('Assumptions'!$B$5="Upside",'Assumptions'!$C$14,'Assumptions'!$C$13)))</x:f>
        <x:v>2500</x:v>
      </x:c>
      <x:c r="J57" s="49" t="n">
        <x:f>D57*E57/1000</x:f>
        <x:v>1012.5</x:v>
      </x:c>
      <x:c r="K57" s="49" t="n">
        <x:f>H57*I57/1000</x:f>
        <x:v>1012.5</x:v>
      </x:c>
      <x:c r="L57" s="50" t="n">
        <x:f>K57-J57</x:f>
        <x:v>0</x:v>
      </x:c>
    </x:row>
    <x:row r="58">
      <x:c r="A58" s="51" t="n">
        <x:v>46539</x:v>
      </x:c>
      <x:c r="B58" s="52" t="str">
        <x:v>Enterprise</x:v>
      </x:c>
      <x:c r="C58" s="52" t="str">
        <x:v>Forecast</x:v>
      </x:c>
      <x:c r="D58" s="53" t="n">
        <x:v>151</x:v>
      </x:c>
      <x:c r="E58" s="54" t="n">
        <x:v>6200</x:v>
      </x:c>
      <x:c r="F58" s="39"/>
      <x:c r="G58" s="39"/>
      <x:c r="H58" s="54" t="n">
        <x:f>IF(C58="Actual",F58,D58*IF('Assumptions'!$B$5="Downside",'Assumptions'!$B$12,IF('Assumptions'!$B$5="Upside",'Assumptions'!$B$14,'Assumptions'!$B$13)))</x:f>
        <x:v>151</x:v>
      </x:c>
      <x:c r="I58" s="54" t="n">
        <x:f>IF(C58="Actual",G58,E58*IF('Assumptions'!$B$5="Downside",'Assumptions'!$C$12,IF('Assumptions'!$B$5="Upside",'Assumptions'!$C$14,'Assumptions'!$C$13)))</x:f>
        <x:v>6200</x:v>
      </x:c>
      <x:c r="J58" s="55" t="n">
        <x:f>D58*E58/1000</x:f>
        <x:v>936.2</x:v>
      </x:c>
      <x:c r="K58" s="55" t="n">
        <x:f>H58*I58/1000</x:f>
        <x:v>936.2</x:v>
      </x:c>
      <x:c r="L58" s="56" t="n">
        <x:f>K58-J58</x:f>
        <x:v>0</x:v>
      </x:c>
    </x:row>
  </x:sheetData>
  <x:mergeCells>
    <x:mergeCell ref="A1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8" hidden="0" customWidth="1"/>
    <x:col min="7" max="7" width="19" hidden="0" customWidth="1"/>
  </x:cols>
  <x:sheetData>
    <x:row r="1">
      <x:c r="A1" s="3" t="str">
        <x:v>HEADCOUNT &amp; COMPENSATION PLAN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22" t="str">
        <x:v>Function</x:v>
      </x:c>
      <x:c r="B4" s="32" t="str">
        <x:v>Opening FTE</x:v>
      </x:c>
      <x:c r="C4" s="32" t="str">
        <x:v>Planned hires</x:v>
      </x:c>
      <x:c r="D4" s="32" t="str">
        <x:v>Attrition</x:v>
      </x:c>
      <x:c r="E4" s="32" t="str">
        <x:v>Ending FTE</x:v>
      </x:c>
      <x:c r="F4" s="32" t="str">
        <x:v>Average monthly cost / FTE ($000)</x:v>
      </x:c>
      <x:c r="G4" s="23" t="str">
        <x:v>FY26 payroll ($000)</x:v>
      </x:c>
    </x:row>
    <x:row r="5">
      <x:c r="A5" s="24" t="str">
        <x:v>Sales</x:v>
      </x:c>
      <x:c r="B5" s="64" t="n">
        <x:v>28</x:v>
      </x:c>
      <x:c r="C5" s="64" t="n">
        <x:v>7</x:v>
      </x:c>
      <x:c r="D5" s="64" t="n">
        <x:v>4</x:v>
      </x:c>
      <x:c r="E5" s="46" t="n">
        <x:f>B5+ROUND(C5*IF('Assumptions'!$B$5="Downside",'Assumptions'!$D$12,IF('Assumptions'!$B$5="Upside",'Assumptions'!$D$14,'Assumptions'!$D$13)),0)-D5</x:f>
        <x:v>31</x:v>
      </x:c>
      <x:c r="F5" s="65" t="n">
        <x:v>8.4</x:v>
      </x:c>
      <x:c r="G5" s="66" t="n">
        <x:f>AVERAGE(B5,E5)*F5*12</x:f>
        <x:v>2973.6000000000004</x:v>
      </x:c>
    </x:row>
    <x:row r="6">
      <x:c r="A6" s="24" t="str">
        <x:v>Engineering</x:v>
      </x:c>
      <x:c r="B6" s="64" t="n">
        <x:v>42</x:v>
      </x:c>
      <x:c r="C6" s="64" t="n">
        <x:v>9</x:v>
      </x:c>
      <x:c r="D6" s="64" t="n">
        <x:v>5</x:v>
      </x:c>
      <x:c r="E6" s="46" t="n">
        <x:f>B6+ROUND(C6*IF('Assumptions'!$B$5="Downside",'Assumptions'!$D$12,IF('Assumptions'!$B$5="Upside",'Assumptions'!$D$14,'Assumptions'!$D$13)),0)-D6</x:f>
        <x:v>46</x:v>
      </x:c>
      <x:c r="F6" s="65" t="n">
        <x:v>9.7</x:v>
      </x:c>
      <x:c r="G6" s="66" t="n">
        <x:f>AVERAGE(B6,E6)*F6*12</x:f>
        <x:v>5121.599999999999</x:v>
      </x:c>
    </x:row>
    <x:row r="7">
      <x:c r="A7" s="24" t="str">
        <x:v>Customer Success</x:v>
      </x:c>
      <x:c r="B7" s="64" t="n">
        <x:v>19</x:v>
      </x:c>
      <x:c r="C7" s="64" t="n">
        <x:v>4</x:v>
      </x:c>
      <x:c r="D7" s="64" t="n">
        <x:v>3</x:v>
      </x:c>
      <x:c r="E7" s="46" t="n">
        <x:f>B7+ROUND(C7*IF('Assumptions'!$B$5="Downside",'Assumptions'!$D$12,IF('Assumptions'!$B$5="Upside",'Assumptions'!$D$14,'Assumptions'!$D$13)),0)-D7</x:f>
        <x:v>20</x:v>
      </x:c>
      <x:c r="F7" s="65" t="n">
        <x:v>7.1</x:v>
      </x:c>
      <x:c r="G7" s="66" t="n">
        <x:f>AVERAGE(B7,E7)*F7*12</x:f>
        <x:v>1661.3999999999999</x:v>
      </x:c>
    </x:row>
    <x:row r="8">
      <x:c r="A8" s="28" t="str">
        <x:v>G&amp;A</x:v>
      </x:c>
      <x:c r="B8" s="67" t="n">
        <x:v>14</x:v>
      </x:c>
      <x:c r="C8" s="67" t="n">
        <x:v>2</x:v>
      </x:c>
      <x:c r="D8" s="67" t="n">
        <x:v>2</x:v>
      </x:c>
      <x:c r="E8" s="52" t="n">
        <x:f>B8+ROUND(C8*IF('Assumptions'!$B$5="Downside",'Assumptions'!$D$12,IF('Assumptions'!$B$5="Upside",'Assumptions'!$D$14,'Assumptions'!$D$13)),0)-D8</x:f>
        <x:v>14</x:v>
      </x:c>
      <x:c r="F8" s="68" t="n">
        <x:v>7.8</x:v>
      </x:c>
      <x:c r="G8" s="69" t="n">
        <x:f>AVERAGE(B8,E8)*F8*12</x:f>
        <x:v>1310.4</x:v>
      </x:c>
    </x:row>
    <x:row r="9">
      <x:c r="A9" s="62" t="str">
        <x:v>Total</x:v>
      </x:c>
      <x:c r="B9" s="62" t="n">
        <x:f>SUM(B5:B8)</x:f>
        <x:v>103</x:v>
      </x:c>
      <x:c r="C9" s="62" t="n">
        <x:f>SUM(C5:C8)</x:f>
        <x:v>22</x:v>
      </x:c>
      <x:c r="D9" s="62" t="n">
        <x:f>SUM(D5:D8)</x:f>
        <x:v>14</x:v>
      </x:c>
      <x:c r="E9" s="62" t="n">
        <x:f>SUM(E5:E8)</x:f>
        <x:v>111</x:v>
      </x:c>
      <x:c r="F9" s="63"/>
      <x:c r="G9" s="63" t="n">
        <x:f>SUM(G5:G8)</x:f>
        <x:v>11067</x:v>
      </x:c>
    </x:row>
  </x:sheetData>
  <x:mergeCells>
    <x:mergeCell ref="A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9" hidden="0" customWidth="1"/>
  </x:cols>
  <x:sheetData>
    <x:row r="1">
      <x:c r="A1" s="3" t="str">
        <x:v>FUNCTIONAL OPEX PLAN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2" t="str">
        <x:v>Function</x:v>
      </x:c>
      <x:c r="B4" s="32" t="str">
        <x:v>Budget ($000)</x:v>
      </x:c>
      <x:c r="C4" s="32" t="str">
        <x:v>Forecast ($000)</x:v>
      </x:c>
      <x:c r="D4" s="32" t="str">
        <x:v>Variance $</x:v>
      </x:c>
      <x:c r="E4" s="32" t="str">
        <x:v>Variance %</x:v>
      </x:c>
      <x:c r="F4" s="23" t="str">
        <x:v>Owner action</x:v>
      </x:c>
    </x:row>
    <x:row r="5">
      <x:c r="A5" s="24" t="str">
        <x:v>Marketing</x:v>
      </x:c>
      <x:c r="B5" s="79" t="n">
        <x:v>1620</x:v>
      </x:c>
      <x:c r="C5" s="80" t="n">
        <x:f>B5*1.06*IF('Assumptions'!$B$5="Downside",'Assumptions'!$F$12,IF('Assumptions'!$B$5="Upside",'Assumptions'!$F$14,'Assumptions'!$F$13))</x:f>
        <x:v>1717.2</x:v>
      </x:c>
      <x:c r="D5" s="80" t="n">
        <x:f>C5-B5</x:f>
        <x:v>97.20000000000005</x:v>
      </x:c>
      <x:c r="E5" s="81" t="n">
        <x:f>IF(B5=0,0,D5/B5)</x:f>
        <x:v>0.060000000000000026</x:v>
      </x:c>
      <x:c r="F5" s="82" t="str">
        <x:v>Reallocate to highest-ROI channels</x:v>
      </x:c>
    </x:row>
    <x:row r="6">
      <x:c r="A6" s="24" t="str">
        <x:v>Technology &amp; tools</x:v>
      </x:c>
      <x:c r="B6" s="79" t="n">
        <x:v>1380</x:v>
      </x:c>
      <x:c r="C6" s="80" t="n">
        <x:f>B6*1.03*IF('Assumptions'!$B$5="Downside",'Assumptions'!$F$12,IF('Assumptions'!$B$5="Upside",'Assumptions'!$F$14,'Assumptions'!$F$13))</x:f>
        <x:v>1421.4</x:v>
      </x:c>
      <x:c r="D6" s="80" t="n">
        <x:f>C6-B6</x:f>
        <x:v>41.40000000000009</x:v>
      </x:c>
      <x:c r="E6" s="81" t="n">
        <x:f>IF(B6=0,0,D6/B6)</x:f>
        <x:v>0.030000000000000065</x:v>
      </x:c>
      <x:c r="F6" s="82" t="str">
        <x:v>Review software utilization</x:v>
      </x:c>
    </x:row>
    <x:row r="7">
      <x:c r="A7" s="24" t="str">
        <x:v>Facilities</x:v>
      </x:c>
      <x:c r="B7" s="79" t="n">
        <x:v>520</x:v>
      </x:c>
      <x:c r="C7" s="80" t="n">
        <x:f>B7*0.98*IF('Assumptions'!$B$5="Downside",'Assumptions'!$F$12,IF('Assumptions'!$B$5="Upside",'Assumptions'!$F$14,'Assumptions'!$F$13))</x:f>
        <x:v>509.59999999999997</x:v>
      </x:c>
      <x:c r="D7" s="80" t="n">
        <x:f>C7-B7</x:f>
        <x:v>-10.400000000000034</x:v>
      </x:c>
      <x:c r="E7" s="81" t="n">
        <x:f>IF(B7=0,0,D7/B7)</x:f>
        <x:v>-0.020000000000000066</x:v>
      </x:c>
      <x:c r="F7" s="82" t="str">
        <x:v>Maintain footprint discipline</x:v>
      </x:c>
    </x:row>
    <x:row r="8">
      <x:c r="A8" s="24" t="str">
        <x:v>Professional services</x:v>
      </x:c>
      <x:c r="B8" s="79" t="n">
        <x:v>610</x:v>
      </x:c>
      <x:c r="C8" s="80" t="n">
        <x:f>B8*1.11*IF('Assumptions'!$B$5="Downside",'Assumptions'!$F$12,IF('Assumptions'!$B$5="Upside",'Assumptions'!$F$14,'Assumptions'!$F$13))</x:f>
        <x:v>677.1</x:v>
      </x:c>
      <x:c r="D8" s="80" t="n">
        <x:f>C8-B8</x:f>
        <x:v>67.10000000000002</x:v>
      </x:c>
      <x:c r="E8" s="81" t="n">
        <x:f>IF(B8=0,0,D8/B8)</x:f>
        <x:v>0.11000000000000004</x:v>
      </x:c>
      <x:c r="F8" s="82" t="str">
        <x:v>Tighten external consulting scope</x:v>
      </x:c>
    </x:row>
    <x:row r="9">
      <x:c r="A9" s="28" t="str">
        <x:v>Other G&amp;A</x:v>
      </x:c>
      <x:c r="B9" s="83" t="n">
        <x:v>430</x:v>
      </x:c>
      <x:c r="C9" s="84" t="n">
        <x:f>B9*1.02*IF('Assumptions'!$B$5="Downside",'Assumptions'!$F$12,IF('Assumptions'!$B$5="Upside",'Assumptions'!$F$14,'Assumptions'!$F$13))</x:f>
        <x:v>438.6</x:v>
      </x:c>
      <x:c r="D9" s="84" t="n">
        <x:f>C9-B9</x:f>
        <x:v>8.600000000000023</x:v>
      </x:c>
      <x:c r="E9" s="85" t="n">
        <x:f>IF(B9=0,0,D9/B9)</x:f>
        <x:v>0.020000000000000052</x:v>
      </x:c>
      <x:c r="F9" s="86" t="str">
        <x:v>Hold discretionary spend</x:v>
      </x:c>
    </x:row>
    <x:row r="10">
      <x:c r="A10" s="62" t="str">
        <x:v>Total</x:v>
      </x:c>
      <x:c r="B10" s="77" t="n">
        <x:f>SUM(B5:B9)</x:f>
        <x:v>4560</x:v>
      </x:c>
      <x:c r="C10" s="77" t="n">
        <x:f>SUM(C5:C9)</x:f>
        <x:v>4763.900000000001</x:v>
      </x:c>
      <x:c r="D10" s="77" t="n">
        <x:f>SUM(D5:D9)</x:f>
        <x:v>203.90000000000015</x:v>
      </x:c>
      <x:c r="E10" s="78" t="n">
        <x:f>D10/B10</x:f>
        <x:v>0.044714912280701784</x:v>
      </x:c>
      <x:c r="F10" s="62" t="str"/>
    </x:row>
  </x:sheetData>
  <x:mergeCells>
    <x:mergeCell ref="A1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>
      <x:c r="A1" s="3" t="str">
        <x:v>MONTHLY P&amp;L — ACTUALS + ROLLING FORECAST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4">
      <x:c r="A4" s="22" t="str">
        <x:v>$000</x:v>
      </x:c>
      <x:c r="B4" s="32" t="str">
        <x:v>Jan 26</x:v>
      </x:c>
      <x:c r="C4" s="32" t="str">
        <x:v>Feb 26</x:v>
      </x:c>
      <x:c r="D4" s="32" t="str">
        <x:v>Mar 26</x:v>
      </x:c>
      <x:c r="E4" s="32" t="str">
        <x:v>Apr 26</x:v>
      </x:c>
      <x:c r="F4" s="32" t="str">
        <x:v>May 26</x:v>
      </x:c>
      <x:c r="G4" s="32" t="str">
        <x:v>Jun 26</x:v>
      </x:c>
      <x:c r="H4" s="32" t="str">
        <x:v>Jul 26</x:v>
      </x:c>
      <x:c r="I4" s="95" t="str">
        <x:v>Aug 26</x:v>
      </x:c>
      <x:c r="J4" s="95" t="str">
        <x:v>Sep 26</x:v>
      </x:c>
      <x:c r="K4" s="95" t="str">
        <x:v>Oct 26</x:v>
      </x:c>
      <x:c r="L4" s="95" t="str">
        <x:v>Nov 26</x:v>
      </x:c>
      <x:c r="M4" s="95" t="str">
        <x:v>Dec 26</x:v>
      </x:c>
      <x:c r="N4" s="95" t="str">
        <x:v>Jan 27</x:v>
      </x:c>
      <x:c r="O4" s="95" t="str">
        <x:v>Feb 27</x:v>
      </x:c>
      <x:c r="P4" s="95" t="str">
        <x:v>Mar 27</x:v>
      </x:c>
      <x:c r="Q4" s="95" t="str">
        <x:v>Apr 27</x:v>
      </x:c>
      <x:c r="R4" s="95" t="str">
        <x:v>May 27</x:v>
      </x:c>
      <x:c r="S4" s="96" t="str">
        <x:v>Jun 27</x:v>
      </x:c>
    </x:row>
    <x:row r="5">
      <x:c r="A5" s="24" t="str">
        <x:v>Revenue</x:v>
      </x:c>
      <x:c r="B5" s="49" t="n">
        <x:f>SUM('Revenue_Plan'!$K$5:$K$7)</x:f>
        <x:v>2255.496</x:v>
      </x:c>
      <x:c r="C5" s="49" t="n">
        <x:f>SUM('Revenue_Plan'!$K$8:$K$10)</x:f>
        <x:v>2287.134</x:v>
      </x:c>
      <x:c r="D5" s="49" t="n">
        <x:f>SUM('Revenue_Plan'!$K$11:$K$13)</x:f>
        <x:v>2539.4759999999997</x:v>
      </x:c>
      <x:c r="E5" s="49" t="n">
        <x:f>SUM('Revenue_Plan'!$K$14:$K$16)</x:f>
        <x:v>2348.131</x:v>
      </x:c>
      <x:c r="F5" s="49" t="n">
        <x:f>SUM('Revenue_Plan'!$K$17:$K$19)</x:f>
        <x:v>2379.486</x:v>
      </x:c>
      <x:c r="G5" s="49" t="n">
        <x:f>SUM('Revenue_Plan'!$K$20:$K$22)</x:f>
        <x:v>2648.0750000000003</x:v>
      </x:c>
      <x:c r="H5" s="49" t="n">
        <x:f>SUM('Revenue_Plan'!$K$23:$K$25)</x:f>
        <x:v>2505.7</x:v>
      </x:c>
      <x:c r="I5" s="97" t="n">
        <x:f>SUM('Revenue_Plan'!$K$26:$K$28)</x:f>
        <x:v>2548.7</x:v>
      </x:c>
      <x:c r="J5" s="97" t="n">
        <x:f>SUM('Revenue_Plan'!$K$29:$K$31)</x:f>
        <x:v>2741.7</x:v>
      </x:c>
      <x:c r="K5" s="97" t="n">
        <x:f>SUM('Revenue_Plan'!$K$32:$K$34)</x:f>
        <x:v>2699.7</x:v>
      </x:c>
      <x:c r="L5" s="97" t="n">
        <x:f>SUM('Revenue_Plan'!$K$35:$K$37)</x:f>
        <x:v>2743.9</x:v>
      </x:c>
      <x:c r="M5" s="97" t="n">
        <x:f>SUM('Revenue_Plan'!$K$38:$K$40)</x:f>
        <x:v>2943.1000000000004</x:v>
      </x:c>
      <x:c r="N5" s="97" t="n">
        <x:f>SUM('Revenue_Plan'!$K$41:$K$43)</x:f>
        <x:v>2756.1000000000004</x:v>
      </x:c>
      <x:c r="O5" s="97" t="n">
        <x:f>SUM('Revenue_Plan'!$K$44:$K$46)</x:f>
        <x:v>2794.1</x:v>
      </x:c>
      <x:c r="P5" s="97" t="n">
        <x:f>SUM('Revenue_Plan'!$K$47:$K$49)</x:f>
        <x:v>2995.8</x:v>
      </x:c>
      <x:c r="Q5" s="97" t="n">
        <x:f>SUM('Revenue_Plan'!$K$50:$K$52)</x:f>
        <x:v>2878.8</x:v>
      </x:c>
      <x:c r="R5" s="97" t="n">
        <x:f>SUM('Revenue_Plan'!$K$53:$K$55)</x:f>
        <x:v>2913.1</x:v>
      </x:c>
      <x:c r="S5" s="98" t="n">
        <x:f>SUM('Revenue_Plan'!$K$56:$K$58)</x:f>
        <x:v>3124.7</x:v>
      </x:c>
    </x:row>
    <x:row r="6">
      <x:c r="A6" s="24" t="str">
        <x:v>Budget revenue</x:v>
      </x:c>
      <x:c r="B6" s="49" t="n">
        <x:f>SUM('Revenue_Plan'!$J$5:$J$7)</x:f>
        <x:v>2264</x:v>
      </x:c>
      <x:c r="C6" s="49" t="n">
        <x:f>SUM('Revenue_Plan'!$J$8:$J$10)</x:f>
        <x:v>2308.2</x:v>
      </x:c>
      <x:c r="D6" s="49" t="n">
        <x:f>SUM('Revenue_Plan'!$J$11:$J$13)</x:f>
        <x:v>2478.9</x:v>
      </x:c>
      <x:c r="E6" s="49" t="n">
        <x:f>SUM('Revenue_Plan'!$J$14:$J$16)</x:f>
        <x:v>2386.7</x:v>
      </x:c>
      <x:c r="F6" s="49" t="n">
        <x:f>SUM('Revenue_Plan'!$J$17:$J$19)</x:f>
        <x:v>2427.2</x:v>
      </x:c>
      <x:c r="G6" s="49" t="n">
        <x:f>SUM('Revenue_Plan'!$J$20:$J$22)</x:f>
        <x:v>2607.8</x:v>
      </x:c>
      <x:c r="H6" s="49" t="n">
        <x:f>SUM('Revenue_Plan'!$J$23:$J$25)</x:f>
        <x:v>2505.7</x:v>
      </x:c>
      <x:c r="I6" s="97" t="n">
        <x:f>SUM('Revenue_Plan'!$J$26:$J$28)</x:f>
        <x:v>2548.7</x:v>
      </x:c>
      <x:c r="J6" s="97" t="n">
        <x:f>SUM('Revenue_Plan'!$J$29:$J$31)</x:f>
        <x:v>2741.7</x:v>
      </x:c>
      <x:c r="K6" s="97" t="n">
        <x:f>SUM('Revenue_Plan'!$J$32:$J$34)</x:f>
        <x:v>2699.7</x:v>
      </x:c>
      <x:c r="L6" s="97" t="n">
        <x:f>SUM('Revenue_Plan'!$J$35:$J$37)</x:f>
        <x:v>2743.9</x:v>
      </x:c>
      <x:c r="M6" s="97" t="n">
        <x:f>SUM('Revenue_Plan'!$J$38:$J$40)</x:f>
        <x:v>2943.1000000000004</x:v>
      </x:c>
      <x:c r="N6" s="97" t="n">
        <x:f>SUM('Revenue_Plan'!$J$41:$J$43)</x:f>
        <x:v>2756.1000000000004</x:v>
      </x:c>
      <x:c r="O6" s="97" t="n">
        <x:f>SUM('Revenue_Plan'!$J$44:$J$46)</x:f>
        <x:v>2794.1</x:v>
      </x:c>
      <x:c r="P6" s="97" t="n">
        <x:f>SUM('Revenue_Plan'!$J$47:$J$49)</x:f>
        <x:v>2995.8</x:v>
      </x:c>
      <x:c r="Q6" s="97" t="n">
        <x:f>SUM('Revenue_Plan'!$J$50:$J$52)</x:f>
        <x:v>2878.8</x:v>
      </x:c>
      <x:c r="R6" s="97" t="n">
        <x:f>SUM('Revenue_Plan'!$J$53:$J$55)</x:f>
        <x:v>2913.1</x:v>
      </x:c>
      <x:c r="S6" s="98" t="n">
        <x:f>SUM('Revenue_Plan'!$J$56:$J$58)</x:f>
        <x:v>3124.7</x:v>
      </x:c>
    </x:row>
    <x:row r="7">
      <x:c r="A7" s="24" t="str">
        <x:v>Revenue variance</x:v>
      </x:c>
      <x:c r="B7" s="49" t="n">
        <x:f>B5-B6</x:f>
        <x:v>-8.503999999999905</x:v>
      </x:c>
      <x:c r="C7" s="49" t="n">
        <x:f>C5-C6</x:f>
        <x:v>-21.065999999999804</x:v>
      </x:c>
      <x:c r="D7" s="49" t="n">
        <x:f>D5-D6</x:f>
        <x:v>60.57599999999957</x:v>
      </x:c>
      <x:c r="E7" s="49" t="n">
        <x:f>E5-E6</x:f>
        <x:v>-38.56899999999996</x:v>
      </x:c>
      <x:c r="F7" s="49" t="n">
        <x:f>F5-F6</x:f>
        <x:v>-47.71399999999994</x:v>
      </x:c>
      <x:c r="G7" s="49" t="n">
        <x:f>G5-G6</x:f>
        <x:v>40.27500000000009</x:v>
      </x:c>
      <x:c r="H7" s="49" t="n">
        <x:f>H5-H6</x:f>
        <x:v>0</x:v>
      </x:c>
      <x:c r="I7" s="97" t="n">
        <x:f>I5-I6</x:f>
        <x:v>0</x:v>
      </x:c>
      <x:c r="J7" s="97" t="n">
        <x:f>J5-J6</x:f>
        <x:v>0</x:v>
      </x:c>
      <x:c r="K7" s="97" t="n">
        <x:f>K5-K6</x:f>
        <x:v>0</x:v>
      </x:c>
      <x:c r="L7" s="97" t="n">
        <x:f>L5-L6</x:f>
        <x:v>0</x:v>
      </x:c>
      <x:c r="M7" s="97" t="n">
        <x:f>M5-M6</x:f>
        <x:v>0</x:v>
      </x:c>
      <x:c r="N7" s="97" t="n">
        <x:f>N5-N6</x:f>
        <x:v>0</x:v>
      </x:c>
      <x:c r="O7" s="97" t="n">
        <x:f>O5-O6</x:f>
        <x:v>0</x:v>
      </x:c>
      <x:c r="P7" s="97" t="n">
        <x:f>P5-P6</x:f>
        <x:v>0</x:v>
      </x:c>
      <x:c r="Q7" s="97" t="n">
        <x:f>Q5-Q6</x:f>
        <x:v>0</x:v>
      </x:c>
      <x:c r="R7" s="97" t="n">
        <x:f>R5-R6</x:f>
        <x:v>0</x:v>
      </x:c>
      <x:c r="S7" s="98" t="n">
        <x:f>S5-S6</x:f>
        <x:v>0</x:v>
      </x:c>
    </x:row>
    <x:row r="8">
      <x:c r="A8" s="24" t="str">
        <x:v>Variable costs</x:v>
      </x:c>
      <x:c r="B8" s="49" t="n">
        <x:f>SUMPRODUCT('Revenue_Plan'!$K$5:$K$7,'Assumptions'!$C$18:$C$20)</x:f>
        <x:v>446.89956000000006</x:v>
      </x:c>
      <x:c r="C8" s="49" t="n">
        <x:f>SUMPRODUCT('Revenue_Plan'!$K$8:$K$10,'Assumptions'!$C$18:$C$20)</x:f>
        <x:v>452.48258</x:v>
      </x:c>
      <x:c r="D8" s="49" t="n">
        <x:f>SUMPRODUCT('Revenue_Plan'!$K$11:$K$13,'Assumptions'!$C$18:$C$20)</x:f>
        <x:v>497.69514</x:v>
      </x:c>
      <x:c r="E8" s="49" t="n">
        <x:f>SUMPRODUCT('Revenue_Plan'!$K$14:$K$16,'Assumptions'!$C$18:$C$20)</x:f>
        <x:v>465.35727</x:v>
      </x:c>
      <x:c r="F8" s="49" t="n">
        <x:f>SUMPRODUCT('Revenue_Plan'!$K$17:$K$19,'Assumptions'!$C$18:$C$20)</x:f>
        <x:v>470.57993999999997</x:v>
      </x:c>
      <x:c r="G8" s="49" t="n">
        <x:f>SUMPRODUCT('Revenue_Plan'!$K$20:$K$22,'Assumptions'!$C$18:$C$20)</x:f>
        <x:v>519.3148100000001</x:v>
      </x:c>
      <x:c r="H8" s="49" t="n">
        <x:f>SUMPRODUCT('Revenue_Plan'!$K$23:$K$25,'Assumptions'!$C$18:$C$20)*IF('Assumptions'!$B$5="Downside",'Assumptions'!$E$12,IF('Assumptions'!$B$5="Upside",'Assumptions'!$E$14,'Assumptions'!$E$13))</x:f>
        <x:v>496.44100000000003</x:v>
      </x:c>
      <x:c r="I8" s="97" t="n">
        <x:f>SUMPRODUCT('Revenue_Plan'!$K$26:$K$28,'Assumptions'!$C$18:$C$20)*IF('Assumptions'!$B$5="Downside",'Assumptions'!$E$12,IF('Assumptions'!$B$5="Upside",'Assumptions'!$E$14,'Assumptions'!$E$13))</x:f>
        <x:v>504.863</x:v>
      </x:c>
      <x:c r="J8" s="97" t="n">
        <x:f>SUMPRODUCT('Revenue_Plan'!$K$29:$K$31,'Assumptions'!$C$18:$C$20)*IF('Assumptions'!$B$5="Downside",'Assumptions'!$E$12,IF('Assumptions'!$B$5="Upside",'Assumptions'!$E$14,'Assumptions'!$E$13))</x:f>
        <x:v>537.369</x:v>
      </x:c>
      <x:c r="K8" s="97" t="n">
        <x:f>SUMPRODUCT('Revenue_Plan'!$K$32:$K$34,'Assumptions'!$C$18:$C$20)*IF('Assumptions'!$B$5="Downside",'Assumptions'!$E$12,IF('Assumptions'!$B$5="Upside",'Assumptions'!$E$14,'Assumptions'!$E$13))</x:f>
        <x:v>534.291</x:v>
      </x:c>
      <x:c r="L8" s="97" t="n">
        <x:f>SUMPRODUCT('Revenue_Plan'!$K$35:$K$37,'Assumptions'!$C$18:$C$20)*IF('Assumptions'!$B$5="Downside",'Assumptions'!$E$12,IF('Assumptions'!$B$5="Upside",'Assumptions'!$E$14,'Assumptions'!$E$13))</x:f>
        <x:v>542.989</x:v>
      </x:c>
      <x:c r="M8" s="97" t="n">
        <x:f>SUMPRODUCT('Revenue_Plan'!$K$38:$K$40,'Assumptions'!$C$18:$C$20)*IF('Assumptions'!$B$5="Downside",'Assumptions'!$E$12,IF('Assumptions'!$B$5="Upside",'Assumptions'!$E$14,'Assumptions'!$E$13))</x:f>
        <x:v>576.487</x:v>
      </x:c>
      <x:c r="N8" s="97" t="n">
        <x:f>SUMPRODUCT('Revenue_Plan'!$K$41:$K$43,'Assumptions'!$C$18:$C$20)*IF('Assumptions'!$B$5="Downside",'Assumptions'!$E$12,IF('Assumptions'!$B$5="Upside",'Assumptions'!$E$14,'Assumptions'!$E$13))</x:f>
        <x:v>545.859</x:v>
      </x:c>
      <x:c r="O8" s="97" t="n">
        <x:f>SUMPRODUCT('Revenue_Plan'!$K$44:$K$46,'Assumptions'!$C$18:$C$20)*IF('Assumptions'!$B$5="Downside",'Assumptions'!$E$12,IF('Assumptions'!$B$5="Upside",'Assumptions'!$E$14,'Assumptions'!$E$13))</x:f>
        <x:v>553.565</x:v>
      </x:c>
      <x:c r="P8" s="97" t="n">
        <x:f>SUMPRODUCT('Revenue_Plan'!$K$47:$K$49,'Assumptions'!$C$18:$C$20)*IF('Assumptions'!$B$5="Downside",'Assumptions'!$E$12,IF('Assumptions'!$B$5="Upside",'Assumptions'!$E$14,'Assumptions'!$E$13))</x:f>
        <x:v>587.304</x:v>
      </x:c>
      <x:c r="Q8" s="97" t="n">
        <x:f>SUMPRODUCT('Revenue_Plan'!$K$50:$K$52,'Assumptions'!$C$18:$C$20)*IF('Assumptions'!$B$5="Downside",'Assumptions'!$E$12,IF('Assumptions'!$B$5="Upside",'Assumptions'!$E$14,'Assumptions'!$E$13))</x:f>
        <x:v>570.21</x:v>
      </x:c>
      <x:c r="R8" s="97" t="n">
        <x:f>SUMPRODUCT('Revenue_Plan'!$K$53:$K$55,'Assumptions'!$C$18:$C$20)*IF('Assumptions'!$B$5="Downside",'Assumptions'!$E$12,IF('Assumptions'!$B$5="Upside",'Assumptions'!$E$14,'Assumptions'!$E$13))</x:f>
        <x:v>577.1650000000001</x:v>
      </x:c>
      <x:c r="S8" s="98" t="n">
        <x:f>SUMPRODUCT('Revenue_Plan'!$K$56:$K$58,'Assumptions'!$C$18:$C$20)*IF('Assumptions'!$B$5="Downside",'Assumptions'!$E$12,IF('Assumptions'!$B$5="Upside",'Assumptions'!$E$14,'Assumptions'!$E$13))</x:f>
        <x:v>612.647</x:v>
      </x:c>
    </x:row>
    <x:row r="9">
      <x:c r="A9" s="24" t="str">
        <x:v>Gross profit</x:v>
      </x:c>
      <x:c r="B9" s="49" t="n">
        <x:f>B5-B8</x:f>
        <x:v>1808.59644</x:v>
      </x:c>
      <x:c r="C9" s="49" t="n">
        <x:f>C5-C8</x:f>
        <x:v>1834.6514200000001</x:v>
      </x:c>
      <x:c r="D9" s="49" t="n">
        <x:f>D5-D8</x:f>
        <x:v>2041.7808599999996</x:v>
      </x:c>
      <x:c r="E9" s="49" t="n">
        <x:f>E5-E8</x:f>
        <x:v>1882.77373</x:v>
      </x:c>
      <x:c r="F9" s="49" t="n">
        <x:f>F5-F8</x:f>
        <x:v>1908.9060599999998</x:v>
      </x:c>
      <x:c r="G9" s="49" t="n">
        <x:f>G5-G8</x:f>
        <x:v>2128.76019</x:v>
      </x:c>
      <x:c r="H9" s="49" t="n">
        <x:f>H5-H8</x:f>
        <x:v>2009.2589999999998</x:v>
      </x:c>
      <x:c r="I9" s="97" t="n">
        <x:f>I5-I8</x:f>
        <x:v>2043.8369999999998</x:v>
      </x:c>
      <x:c r="J9" s="97" t="n">
        <x:f>J5-J8</x:f>
        <x:v>2204.3309999999997</x:v>
      </x:c>
      <x:c r="K9" s="97" t="n">
        <x:f>K5-K8</x:f>
        <x:v>2165.4089999999997</x:v>
      </x:c>
      <x:c r="L9" s="97" t="n">
        <x:f>L5-L8</x:f>
        <x:v>2200.911</x:v>
      </x:c>
      <x:c r="M9" s="97" t="n">
        <x:f>M5-M8</x:f>
        <x:v>2366.6130000000003</x:v>
      </x:c>
      <x:c r="N9" s="97" t="n">
        <x:f>N5-N8</x:f>
        <x:v>2210.2410000000004</x:v>
      </x:c>
      <x:c r="O9" s="97" t="n">
        <x:f>O5-O8</x:f>
        <x:v>2240.535</x:v>
      </x:c>
      <x:c r="P9" s="97" t="n">
        <x:f>P5-P8</x:f>
        <x:v>2408.496</x:v>
      </x:c>
      <x:c r="Q9" s="97" t="n">
        <x:f>Q5-Q8</x:f>
        <x:v>2308.59</x:v>
      </x:c>
      <x:c r="R9" s="97" t="n">
        <x:f>R5-R8</x:f>
        <x:v>2335.935</x:v>
      </x:c>
      <x:c r="S9" s="98" t="n">
        <x:f>S5-S8</x:f>
        <x:v>2512.053</x:v>
      </x:c>
    </x:row>
    <x:row r="10">
      <x:c r="A10" s="24" t="str">
        <x:v>Payroll</x:v>
      </x:c>
      <x:c r="B10" s="49" t="n">
        <x:f>'Headcount'!$G$9/12</x:f>
        <x:v>922.25</x:v>
      </x:c>
      <x:c r="C10" s="49" t="n">
        <x:f>'Headcount'!$G$9/12</x:f>
        <x:v>922.25</x:v>
      </x:c>
      <x:c r="D10" s="49" t="n">
        <x:f>'Headcount'!$G$9/12</x:f>
        <x:v>922.25</x:v>
      </x:c>
      <x:c r="E10" s="49" t="n">
        <x:f>'Headcount'!$G$9/12</x:f>
        <x:v>922.25</x:v>
      </x:c>
      <x:c r="F10" s="49" t="n">
        <x:f>'Headcount'!$G$9/12</x:f>
        <x:v>922.25</x:v>
      </x:c>
      <x:c r="G10" s="49" t="n">
        <x:f>'Headcount'!$G$9/12</x:f>
        <x:v>922.25</x:v>
      </x:c>
      <x:c r="H10" s="49" t="n">
        <x:f>'Headcount'!$G$9/12</x:f>
        <x:v>922.25</x:v>
      </x:c>
      <x:c r="I10" s="97" t="n">
        <x:f>'Headcount'!$G$9/12</x:f>
        <x:v>922.25</x:v>
      </x:c>
      <x:c r="J10" s="97" t="n">
        <x:f>'Headcount'!$G$9/12</x:f>
        <x:v>922.25</x:v>
      </x:c>
      <x:c r="K10" s="97" t="n">
        <x:f>'Headcount'!$G$9/12</x:f>
        <x:v>922.25</x:v>
      </x:c>
      <x:c r="L10" s="97" t="n">
        <x:f>'Headcount'!$G$9/12</x:f>
        <x:v>922.25</x:v>
      </x:c>
      <x:c r="M10" s="97" t="n">
        <x:f>'Headcount'!$G$9/12</x:f>
        <x:v>922.25</x:v>
      </x:c>
      <x:c r="N10" s="97" t="n">
        <x:f>'Headcount'!$G$9/12</x:f>
        <x:v>922.25</x:v>
      </x:c>
      <x:c r="O10" s="97" t="n">
        <x:f>'Headcount'!$G$9/12</x:f>
        <x:v>922.25</x:v>
      </x:c>
      <x:c r="P10" s="97" t="n">
        <x:f>'Headcount'!$G$9/12</x:f>
        <x:v>922.25</x:v>
      </x:c>
      <x:c r="Q10" s="97" t="n">
        <x:f>'Headcount'!$G$9/12</x:f>
        <x:v>922.25</x:v>
      </x:c>
      <x:c r="R10" s="97" t="n">
        <x:f>'Headcount'!$G$9/12</x:f>
        <x:v>922.25</x:v>
      </x:c>
      <x:c r="S10" s="98" t="n">
        <x:f>'Headcount'!$G$9/12</x:f>
        <x:v>922.25</x:v>
      </x:c>
    </x:row>
    <x:row r="11">
      <x:c r="A11" s="24" t="str">
        <x:v>Opex</x:v>
      </x:c>
      <x:c r="B11" s="49" t="n">
        <x:f>'Opex'!$C$10/12</x:f>
        <x:v>396.99166666666673</x:v>
      </x:c>
      <x:c r="C11" s="49" t="n">
        <x:f>'Opex'!$C$10/12</x:f>
        <x:v>396.99166666666673</x:v>
      </x:c>
      <x:c r="D11" s="49" t="n">
        <x:f>'Opex'!$C$10/12</x:f>
        <x:v>396.99166666666673</x:v>
      </x:c>
      <x:c r="E11" s="49" t="n">
        <x:f>'Opex'!$C$10/12</x:f>
        <x:v>396.99166666666673</x:v>
      </x:c>
      <x:c r="F11" s="49" t="n">
        <x:f>'Opex'!$C$10/12</x:f>
        <x:v>396.99166666666673</x:v>
      </x:c>
      <x:c r="G11" s="49" t="n">
        <x:f>'Opex'!$C$10/12</x:f>
        <x:v>396.99166666666673</x:v>
      </x:c>
      <x:c r="H11" s="49" t="n">
        <x:f>'Opex'!$C$10/12</x:f>
        <x:v>396.99166666666673</x:v>
      </x:c>
      <x:c r="I11" s="97" t="n">
        <x:f>'Opex'!$C$10/12</x:f>
        <x:v>396.99166666666673</x:v>
      </x:c>
      <x:c r="J11" s="97" t="n">
        <x:f>'Opex'!$C$10/12</x:f>
        <x:v>396.99166666666673</x:v>
      </x:c>
      <x:c r="K11" s="97" t="n">
        <x:f>'Opex'!$C$10/12</x:f>
        <x:v>396.99166666666673</x:v>
      </x:c>
      <x:c r="L11" s="97" t="n">
        <x:f>'Opex'!$C$10/12</x:f>
        <x:v>396.99166666666673</x:v>
      </x:c>
      <x:c r="M11" s="97" t="n">
        <x:f>'Opex'!$C$10/12</x:f>
        <x:v>396.99166666666673</x:v>
      </x:c>
      <x:c r="N11" s="97" t="n">
        <x:f>'Opex'!$C$10/12</x:f>
        <x:v>396.99166666666673</x:v>
      </x:c>
      <x:c r="O11" s="97" t="n">
        <x:f>'Opex'!$C$10/12</x:f>
        <x:v>396.99166666666673</x:v>
      </x:c>
      <x:c r="P11" s="97" t="n">
        <x:f>'Opex'!$C$10/12</x:f>
        <x:v>396.99166666666673</x:v>
      </x:c>
      <x:c r="Q11" s="97" t="n">
        <x:f>'Opex'!$C$10/12</x:f>
        <x:v>396.99166666666673</x:v>
      </x:c>
      <x:c r="R11" s="97" t="n">
        <x:f>'Opex'!$C$10/12</x:f>
        <x:v>396.99166666666673</x:v>
      </x:c>
      <x:c r="S11" s="98" t="n">
        <x:f>'Opex'!$C$10/12</x:f>
        <x:v>396.99166666666673</x:v>
      </x:c>
    </x:row>
    <x:row r="12">
      <x:c r="A12" s="24" t="str">
        <x:v>EBITDA</x:v>
      </x:c>
      <x:c r="B12" s="49" t="n">
        <x:f>B9-B10-B11</x:f>
        <x:v>489.3547733333333</x:v>
      </x:c>
      <x:c r="C12" s="49" t="n">
        <x:f>C9-C10-C11</x:f>
        <x:v>515.4097533333334</x:v>
      </x:c>
      <x:c r="D12" s="49" t="n">
        <x:f>D9-D10-D11</x:f>
        <x:v>722.5391933333328</x:v>
      </x:c>
      <x:c r="E12" s="49" t="n">
        <x:f>E9-E10-E11</x:f>
        <x:v>563.5320633333331</x:v>
      </x:c>
      <x:c r="F12" s="49" t="n">
        <x:f>F9-F10-F11</x:f>
        <x:v>589.664393333333</x:v>
      </x:c>
      <x:c r="G12" s="49" t="n">
        <x:f>G9-G10-G11</x:f>
        <x:v>809.5185233333332</x:v>
      </x:c>
      <x:c r="H12" s="49" t="n">
        <x:f>H9-H10-H11</x:f>
        <x:v>690.017333333333</x:v>
      </x:c>
      <x:c r="I12" s="97" t="n">
        <x:f>I9-I10-I11</x:f>
        <x:v>724.595333333333</x:v>
      </x:c>
      <x:c r="J12" s="97" t="n">
        <x:f>J9-J10-J11</x:f>
        <x:v>885.0893333333329</x:v>
      </x:c>
      <x:c r="K12" s="97" t="n">
        <x:f>K9-K10-K11</x:f>
        <x:v>846.1673333333329</x:v>
      </x:c>
      <x:c r="L12" s="97" t="n">
        <x:f>L9-L10-L11</x:f>
        <x:v>881.6693333333333</x:v>
      </x:c>
      <x:c r="M12" s="97" t="n">
        <x:f>M9-M10-M11</x:f>
        <x:v>1047.3713333333335</x:v>
      </x:c>
      <x:c r="N12" s="97" t="n">
        <x:f>N9-N10-N11</x:f>
        <x:v>890.9993333333337</x:v>
      </x:c>
      <x:c r="O12" s="97" t="n">
        <x:f>O9-O10-O11</x:f>
        <x:v>921.2933333333331</x:v>
      </x:c>
      <x:c r="P12" s="97" t="n">
        <x:f>P9-P10-P11</x:f>
        <x:v>1089.2543333333333</x:v>
      </x:c>
      <x:c r="Q12" s="97" t="n">
        <x:f>Q9-Q10-Q11</x:f>
        <x:v>989.3483333333334</x:v>
      </x:c>
      <x:c r="R12" s="97" t="n">
        <x:f>R9-R10-R11</x:f>
        <x:v>1016.6933333333332</x:v>
      </x:c>
      <x:c r="S12" s="98" t="n">
        <x:f>S9-S10-S11</x:f>
        <x:v>1192.811333333333</x:v>
      </x:c>
    </x:row>
    <x:row r="13">
      <x:c r="A13" s="24" t="str">
        <x:v>EBITDA margin</x:v>
      </x:c>
      <x:c r="B13" s="81" t="n">
        <x:f>IF(B5=0,0,B12/B5)</x:f>
        <x:v>0.2169610468532568</x:v>
      </x:c>
      <x:c r="C13" s="81" t="n">
        <x:f>IF(C5=0,0,C12/C5)</x:f>
        <x:v>0.22535179544938486</x:v>
      </x:c>
      <x:c r="D13" s="81" t="n">
        <x:f>IF(D5=0,0,D12/D5)</x:f>
        <x:v>0.28452294620359986</x:v>
      </x:c>
      <x:c r="E13" s="81" t="n">
        <x:f>IF(E5=0,0,E12/E5)</x:f>
        <x:v>0.23999174804699275</x:v>
      </x:c>
      <x:c r="F13" s="81" t="n">
        <x:f>IF(F5=0,0,F12/F5)</x:f>
        <x:v>0.24781166744974883</x:v>
      </x:c>
      <x:c r="G13" s="81" t="n">
        <x:f>IF(G5=0,0,G12/G5)</x:f>
        <x:v>0.30570075369214733</x:v>
      </x:c>
      <x:c r="H13" s="81" t="n">
        <x:f>IF(H5=0,0,H12/H5)</x:f>
        <x:v>0.27537906905588583</x:v>
      </x:c>
      <x:c r="I13" s="99" t="n">
        <x:f>IF(I5=0,0,I12/I5)</x:f>
        <x:v>0.2842999699193052</x:v>
      </x:c>
      <x:c r="J13" s="99" t="n">
        <x:f>IF(J5=0,0,J12/J5)</x:f>
        <x:v>0.3228250112460637</x:v>
      </x:c>
      <x:c r="K13" s="99" t="n">
        <x:f>IF(K5=0,0,K12/K5)</x:f>
        <x:v>0.3134301342124432</x:v>
      </x:c>
      <x:c r="L13" s="99" t="n">
        <x:f>IF(L5=0,0,L12/L5)</x:f>
        <x:v>0.321319775987949</x:v>
      </x:c>
      <x:c r="M13" s="99" t="n">
        <x:f>IF(M5=0,0,M12/M5)</x:f>
        <x:v>0.3558735120564484</x:v>
      </x:c>
      <x:c r="N13" s="99" t="n">
        <x:f>IF(N5=0,0,N12/N5)</x:f>
        <x:v>0.32328265786195476</x:v>
      </x:c>
      <x:c r="O13" s="99" t="n">
        <x:f>IF(O5=0,0,O12/O5)</x:f>
        <x:v>0.3297281175810934</x:v>
      </x:c>
      <x:c r="P13" s="99" t="n">
        <x:f>IF(P5=0,0,P12/P5)</x:f>
        <x:v>0.3635938091105325</x:v>
      </x:c>
      <x:c r="Q13" s="99" t="n">
        <x:f>IF(Q5=0,0,Q12/Q5)</x:f>
        <x:v>0.3436669214024362</x:v>
      </x:c>
      <x:c r="R13" s="99" t="n">
        <x:f>IF(R5=0,0,R12/R5)</x:f>
        <x:v>0.34900735756868395</x:v>
      </x:c>
      <x:c r="S13" s="100" t="n">
        <x:f>IF(S5=0,0,S12/S5)</x:f>
        <x:v>0.3817362733489081</x:v>
      </x:c>
    </x:row>
    <x:row r="14">
      <x:c r="A14" s="28" t="str">
        <x:v>Status</x:v>
      </x:c>
      <x:c r="B14" s="52" t="str">
        <x:v>Actual</x:v>
      </x:c>
      <x:c r="C14" s="52" t="str">
        <x:v>Actual</x:v>
      </x:c>
      <x:c r="D14" s="52" t="str">
        <x:v>Actual</x:v>
      </x:c>
      <x:c r="E14" s="52" t="str">
        <x:v>Actual</x:v>
      </x:c>
      <x:c r="F14" s="52" t="str">
        <x:v>Actual</x:v>
      </x:c>
      <x:c r="G14" s="52" t="str">
        <x:v>Actual</x:v>
      </x:c>
      <x:c r="H14" s="52" t="str">
        <x:v>Forecast</x:v>
      </x:c>
      <x:c r="I14" s="101" t="str">
        <x:v>Forecast</x:v>
      </x:c>
      <x:c r="J14" s="101" t="str">
        <x:v>Forecast</x:v>
      </x:c>
      <x:c r="K14" s="101" t="str">
        <x:v>Forecast</x:v>
      </x:c>
      <x:c r="L14" s="101" t="str">
        <x:v>Forecast</x:v>
      </x:c>
      <x:c r="M14" s="101" t="str">
        <x:v>Forecast</x:v>
      </x:c>
      <x:c r="N14" s="101" t="str">
        <x:v>Forecast</x:v>
      </x:c>
      <x:c r="O14" s="101" t="str">
        <x:v>Forecast</x:v>
      </x:c>
      <x:c r="P14" s="101" t="str">
        <x:v>Forecast</x:v>
      </x:c>
      <x:c r="Q14" s="101" t="str">
        <x:v>Forecast</x:v>
      </x:c>
      <x:c r="R14" s="101" t="str">
        <x:v>Forecast</x:v>
      </x:c>
      <x:c r="S14" s="102" t="str">
        <x:v>Forecast</x:v>
      </x:c>
    </x:row>
  </x:sheetData>
  <x:mergeCells>
    <x:mergeCell ref="A1:S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FY2026 FORECAST VS BUDGET — DRIVER BRIDGE</x:v>
      </x:c>
      <x:c r="B1" s="3"/>
      <x:c r="C1" s="3"/>
      <x:c r="D1" s="3"/>
      <x:c r="E1" s="3"/>
      <x:c r="F1" s="3"/>
      <x:c r="G1" s="3"/>
    </x:row>
    <x:row r="2">
      <x:c r="A2" s="3"/>
      <x:c r="B2" s="3"/>
      <x:c r="C2" s="3"/>
      <x:c r="D2" s="3"/>
      <x:c r="E2" s="3"/>
      <x:c r="F2" s="3"/>
      <x:c r="G2" s="3"/>
    </x:row>
    <x:row r="4">
      <x:c r="A4" s="22" t="str">
        <x:v>Product</x:v>
      </x:c>
      <x:c r="B4" s="32" t="str">
        <x:v>Budget revenue</x:v>
      </x:c>
      <x:c r="C4" s="32" t="str">
        <x:v>Forecast revenue</x:v>
      </x:c>
      <x:c r="D4" s="32" t="str">
        <x:v>Volume effect</x:v>
      </x:c>
      <x:c r="E4" s="32" t="str">
        <x:v>Price effect</x:v>
      </x:c>
      <x:c r="F4" s="32" t="str">
        <x:v>Total variance</x:v>
      </x:c>
      <x:c r="G4" s="23" t="str">
        <x:v>Reconciliation</x:v>
      </x:c>
    </x:row>
    <x:row r="5">
      <x:c r="A5" s="24" t="str">
        <x:v>Core</x:v>
      </x:c>
      <x:c r="B5" s="49" t="n">
        <x:f>'Revenue_Plan'!J5+'Revenue_Plan'!J8+'Revenue_Plan'!J11+'Revenue_Plan'!J14+'Revenue_Plan'!J17+'Revenue_Plan'!J20+'Revenue_Plan'!J23+'Revenue_Plan'!J26+'Revenue_Plan'!J29+'Revenue_Plan'!J32+'Revenue_Plan'!J35+'Revenue_Plan'!J38</x:f>
        <x:v>11870.4</x:v>
      </x:c>
      <x:c r="C5" s="49" t="n">
        <x:f>'Revenue_Plan'!K5+'Revenue_Plan'!K8+'Revenue_Plan'!K11+'Revenue_Plan'!K14+'Revenue_Plan'!K17+'Revenue_Plan'!K20+'Revenue_Plan'!K23+'Revenue_Plan'!K26+'Revenue_Plan'!K29+'Revenue_Plan'!K32+'Revenue_Plan'!K35+'Revenue_Plan'!K38</x:f>
        <x:v>11870.152</x:v>
      </x:c>
      <x:c r="D5" s="49" t="n">
        <x:f>('Revenue_Plan'!H5-'Revenue_Plan'!D5)*'Revenue_Plan'!E5/1000+('Revenue_Plan'!H8-'Revenue_Plan'!D8)*'Revenue_Plan'!E8/1000+('Revenue_Plan'!H11-'Revenue_Plan'!D11)*'Revenue_Plan'!E11/1000+('Revenue_Plan'!H14-'Revenue_Plan'!D14)*'Revenue_Plan'!E14/1000+('Revenue_Plan'!H17-'Revenue_Plan'!D17)*'Revenue_Plan'!E17/1000+('Revenue_Plan'!H20-'Revenue_Plan'!D20)*'Revenue_Plan'!E20/1000+('Revenue_Plan'!H23-'Revenue_Plan'!D23)*'Revenue_Plan'!E23/1000+('Revenue_Plan'!H26-'Revenue_Plan'!D26)*'Revenue_Plan'!E26/1000+('Revenue_Plan'!H29-'Revenue_Plan'!D29)*'Revenue_Plan'!E29/1000+('Revenue_Plan'!H32-'Revenue_Plan'!D32)*'Revenue_Plan'!E32/1000+('Revenue_Plan'!H35-'Revenue_Plan'!D35)*'Revenue_Plan'!E35/1000+('Revenue_Plan'!H38-'Revenue_Plan'!D38)*'Revenue_Plan'!E38/1000</x:f>
        <x:v>67.2</x:v>
      </x:c>
      <x:c r="E5" s="49" t="n">
        <x:f>'Revenue_Plan'!H5*('Revenue_Plan'!I5-'Revenue_Plan'!E5)/1000+'Revenue_Plan'!H8*('Revenue_Plan'!I8-'Revenue_Plan'!E8)/1000+'Revenue_Plan'!H11*('Revenue_Plan'!I11-'Revenue_Plan'!E11)/1000+'Revenue_Plan'!H14*('Revenue_Plan'!I14-'Revenue_Plan'!E14)/1000+'Revenue_Plan'!H17*('Revenue_Plan'!I17-'Revenue_Plan'!E17)/1000+'Revenue_Plan'!H20*('Revenue_Plan'!I20-'Revenue_Plan'!E20)/1000+'Revenue_Plan'!H23*('Revenue_Plan'!I23-'Revenue_Plan'!E23)/1000+'Revenue_Plan'!H26*('Revenue_Plan'!I26-'Revenue_Plan'!E26)/1000+'Revenue_Plan'!H29*('Revenue_Plan'!I29-'Revenue_Plan'!E29)/1000+'Revenue_Plan'!H32*('Revenue_Plan'!I32-'Revenue_Plan'!E32)/1000+'Revenue_Plan'!H35*('Revenue_Plan'!I35-'Revenue_Plan'!E35)/1000+'Revenue_Plan'!H38*('Revenue_Plan'!I38-'Revenue_Plan'!E38)/1000</x:f>
        <x:v>-67.448</x:v>
      </x:c>
      <x:c r="F5" s="49" t="n">
        <x:f>C5-B5</x:f>
        <x:v>-0.24799999999959255</x:v>
      </x:c>
      <x:c r="G5" s="50" t="n">
        <x:f>F5-D5-E5</x:f>
        <x:v>3.979039320256561e-13</x:v>
      </x:c>
    </x:row>
    <x:row r="6">
      <x:c r="A6" s="24" t="str">
        <x:v>Pro</x:v>
      </x:c>
      <x:c r="B6" s="49" t="n">
        <x:f>'Revenue_Plan'!J6+'Revenue_Plan'!J9+'Revenue_Plan'!J12+'Revenue_Plan'!J15+'Revenue_Plan'!J18+'Revenue_Plan'!J21+'Revenue_Plan'!J24+'Revenue_Plan'!J27+'Revenue_Plan'!J30+'Revenue_Plan'!J33+'Revenue_Plan'!J36+'Revenue_Plan'!J39</x:f>
        <x:v>10440</x:v>
      </x:c>
      <x:c r="C6" s="49" t="n">
        <x:f>'Revenue_Plan'!K6+'Revenue_Plan'!K9+'Revenue_Plan'!K12+'Revenue_Plan'!K15+'Revenue_Plan'!K18+'Revenue_Plan'!K21+'Revenue_Plan'!K24+'Revenue_Plan'!K27+'Revenue_Plan'!K30+'Revenue_Plan'!K33+'Revenue_Plan'!K36+'Revenue_Plan'!K39</x:f>
        <x:v>10378.766</x:v>
      </x:c>
      <x:c r="D6" s="49" t="n">
        <x:f>('Revenue_Plan'!H6-'Revenue_Plan'!D6)*'Revenue_Plan'!E6/1000+('Revenue_Plan'!H9-'Revenue_Plan'!D9)*'Revenue_Plan'!E9/1000+('Revenue_Plan'!H12-'Revenue_Plan'!D12)*'Revenue_Plan'!E12/1000+('Revenue_Plan'!H15-'Revenue_Plan'!D15)*'Revenue_Plan'!E15/1000+('Revenue_Plan'!H18-'Revenue_Plan'!D18)*'Revenue_Plan'!E18/1000+('Revenue_Plan'!H21-'Revenue_Plan'!D21)*'Revenue_Plan'!E21/1000+('Revenue_Plan'!H24-'Revenue_Plan'!D24)*'Revenue_Plan'!E24/1000+('Revenue_Plan'!H27-'Revenue_Plan'!D27)*'Revenue_Plan'!E27/1000+('Revenue_Plan'!H30-'Revenue_Plan'!D30)*'Revenue_Plan'!E30/1000+('Revenue_Plan'!H33-'Revenue_Plan'!D33)*'Revenue_Plan'!E33/1000+('Revenue_Plan'!H36-'Revenue_Plan'!D36)*'Revenue_Plan'!E36/1000+('Revenue_Plan'!H39-'Revenue_Plan'!D39)*'Revenue_Plan'!E39/1000</x:f>
        <x:v>-5</x:v>
      </x:c>
      <x:c r="E6" s="49" t="n">
        <x:f>'Revenue_Plan'!H6*('Revenue_Plan'!I6-'Revenue_Plan'!E6)/1000+'Revenue_Plan'!H9*('Revenue_Plan'!I9-'Revenue_Plan'!E9)/1000+'Revenue_Plan'!H12*('Revenue_Plan'!I12-'Revenue_Plan'!E12)/1000+'Revenue_Plan'!H15*('Revenue_Plan'!I15-'Revenue_Plan'!E15)/1000+'Revenue_Plan'!H18*('Revenue_Plan'!I18-'Revenue_Plan'!E18)/1000+'Revenue_Plan'!H21*('Revenue_Plan'!I21-'Revenue_Plan'!E21)/1000+'Revenue_Plan'!H24*('Revenue_Plan'!I24-'Revenue_Plan'!E24)/1000+'Revenue_Plan'!H27*('Revenue_Plan'!I27-'Revenue_Plan'!E27)/1000+'Revenue_Plan'!H30*('Revenue_Plan'!I30-'Revenue_Plan'!E30)/1000+'Revenue_Plan'!H33*('Revenue_Plan'!I33-'Revenue_Plan'!E33)/1000+'Revenue_Plan'!H36*('Revenue_Plan'!I36-'Revenue_Plan'!E36)/1000+'Revenue_Plan'!H39*('Revenue_Plan'!I39-'Revenue_Plan'!E39)/1000</x:f>
        <x:v>-56.23400000000001</x:v>
      </x:c>
      <x:c r="F6" s="49" t="n">
        <x:f>C6-B6</x:f>
        <x:v>-61.23400000000038</x:v>
      </x:c>
      <x:c r="G6" s="50" t="n">
        <x:f>F6-D6-E6</x:f>
        <x:v>-3.694822225952521e-13</x:v>
      </x:c>
    </x:row>
    <x:row r="7">
      <x:c r="A7" s="28" t="str">
        <x:v>Enterprise</x:v>
      </x:c>
      <x:c r="B7" s="55" t="n">
        <x:f>'Revenue_Plan'!J7+'Revenue_Plan'!J10+'Revenue_Plan'!J13+'Revenue_Plan'!J16+'Revenue_Plan'!J19+'Revenue_Plan'!J22+'Revenue_Plan'!J25+'Revenue_Plan'!J28+'Revenue_Plan'!J31+'Revenue_Plan'!J34+'Revenue_Plan'!J37+'Revenue_Plan'!J40</x:f>
        <x:v>8345.199999999999</x:v>
      </x:c>
      <x:c r="C7" s="55" t="n">
        <x:f>'Revenue_Plan'!K7+'Revenue_Plan'!K10+'Revenue_Plan'!K13+'Revenue_Plan'!K16+'Revenue_Plan'!K19+'Revenue_Plan'!K22+'Revenue_Plan'!K25+'Revenue_Plan'!K28+'Revenue_Plan'!K31+'Revenue_Plan'!K34+'Revenue_Plan'!K37+'Revenue_Plan'!K40</x:f>
        <x:v>8391.679999999998</x:v>
      </x:c>
      <x:c r="D7" s="55" t="n">
        <x:f>('Revenue_Plan'!H7-'Revenue_Plan'!D7)*'Revenue_Plan'!E7/1000+('Revenue_Plan'!H10-'Revenue_Plan'!D10)*'Revenue_Plan'!E10/1000+('Revenue_Plan'!H13-'Revenue_Plan'!D13)*'Revenue_Plan'!E13/1000+('Revenue_Plan'!H16-'Revenue_Plan'!D16)*'Revenue_Plan'!E16/1000+('Revenue_Plan'!H19-'Revenue_Plan'!D19)*'Revenue_Plan'!E19/1000+('Revenue_Plan'!H22-'Revenue_Plan'!D22)*'Revenue_Plan'!E22/1000+('Revenue_Plan'!H25-'Revenue_Plan'!D25)*'Revenue_Plan'!E25/1000+('Revenue_Plan'!H28-'Revenue_Plan'!D28)*'Revenue_Plan'!E28/1000+('Revenue_Plan'!H31-'Revenue_Plan'!D31)*'Revenue_Plan'!E31/1000+('Revenue_Plan'!H34-'Revenue_Plan'!D34)*'Revenue_Plan'!E34/1000+('Revenue_Plan'!H37-'Revenue_Plan'!D37)*'Revenue_Plan'!E37/1000+('Revenue_Plan'!H40-'Revenue_Plan'!D40)*'Revenue_Plan'!E40/1000</x:f>
        <x:v>93</x:v>
      </x:c>
      <x:c r="E7" s="55" t="n">
        <x:f>'Revenue_Plan'!H7*('Revenue_Plan'!I7-'Revenue_Plan'!E7)/1000+'Revenue_Plan'!H10*('Revenue_Plan'!I10-'Revenue_Plan'!E10)/1000+'Revenue_Plan'!H13*('Revenue_Plan'!I13-'Revenue_Plan'!E13)/1000+'Revenue_Plan'!H16*('Revenue_Plan'!I16-'Revenue_Plan'!E16)/1000+'Revenue_Plan'!H19*('Revenue_Plan'!I19-'Revenue_Plan'!E19)/1000+'Revenue_Plan'!H22*('Revenue_Plan'!I22-'Revenue_Plan'!E22)/1000+'Revenue_Plan'!H25*('Revenue_Plan'!I25-'Revenue_Plan'!E25)/1000+'Revenue_Plan'!H28*('Revenue_Plan'!I28-'Revenue_Plan'!E28)/1000+'Revenue_Plan'!H31*('Revenue_Plan'!I31-'Revenue_Plan'!E31)/1000+'Revenue_Plan'!H34*('Revenue_Plan'!I34-'Revenue_Plan'!E34)/1000+'Revenue_Plan'!H37*('Revenue_Plan'!I37-'Revenue_Plan'!E37)/1000+'Revenue_Plan'!H40*('Revenue_Plan'!I40-'Revenue_Plan'!E40)/1000</x:f>
        <x:v>-46.52</x:v>
      </x:c>
      <x:c r="F7" s="55" t="n">
        <x:f>C7-B7</x:f>
        <x:v>46.47999999999956</x:v>
      </x:c>
      <x:c r="G7" s="56" t="n">
        <x:f>F7-D7-E7</x:f>
        <x:v>-4.334310688136611e-13</x:v>
      </x:c>
    </x:row>
    <x:row r="8">
      <x:c r="A8" s="62" t="str">
        <x:v>Total</x:v>
      </x:c>
      <x:c r="B8" s="105" t="n">
        <x:f>SUM(B5:B7)</x:f>
        <x:v>30655.6</x:v>
      </x:c>
      <x:c r="C8" s="105" t="n">
        <x:f>SUM(C5:C7)</x:f>
        <x:v>30640.597999999998</x:v>
      </x:c>
      <x:c r="D8" s="105" t="n">
        <x:f>SUM(D5:D7)</x:f>
        <x:v>155.2</x:v>
      </x:c>
      <x:c r="E8" s="105" t="n">
        <x:f>SUM(E5:E7)</x:f>
        <x:v>-170.202</x:v>
      </x:c>
      <x:c r="F8" s="105" t="n">
        <x:f>SUM(F5:F7)</x:f>
        <x:v>-15.002000000000407</x:v>
      </x:c>
      <x:c r="G8" s="105" t="n">
        <x:f>SUM(G5:G7)</x:f>
        <x:v>-4.050093593832571e-13</x:v>
      </x:c>
    </x:row>
  </x:sheetData>
  <x:mergeCells>
    <x:mergeCell ref="A1:G2"/>
  </x:mergeCells>
  <x:conditionalFormatting sqref="F5:F7">
    <x:cfRule type="dataBar" priority="1">
      <x:dataBar>
        <x:cfvo type="min"/>
        <x:cfvo type="max"/>
        <x:color rgb="FF19A7CE"/>
      </x:dataBar>
      <x:extLst>
        <x:ext xmlns:x14="http://schemas.microsoft.com/office/spreadsheetml/2009/9/main" uri="{B025F937-C7B1-47D3-B67F-A62EFF666E3E}">
          <x14:id>{15691ECA-61B2-2F77-D95D-2F33D9AF6600}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5691ECA-61B2-2F77-D95D-2F33D9AF6600}">
            <x14:dataBar gradient="1">
              <x14:cfvo type="min"/>
              <x14:cfvo type="max"/>
              <x14:fillColor rgb="FF19A7CE"/>
            </x14:dataBar>
          </x14:cfRule>
          <xm:sqref>F5:F7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43" hidden="0" customWidth="1"/>
  </x:cols>
  <x:sheetData>
    <x:row r="1">
      <x:c r="A1" s="3" t="str">
        <x:v>SCENARIO OUTLOOK — FY2026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2" t="str">
        <x:v>Scenario</x:v>
      </x:c>
      <x:c r="B4" s="32" t="str">
        <x:v>Revenue</x:v>
      </x:c>
      <x:c r="C4" s="32" t="str">
        <x:v>EBITDA</x:v>
      </x:c>
      <x:c r="D4" s="32" t="str">
        <x:v>EBITDA margin</x:v>
      </x:c>
      <x:c r="E4" s="32" t="str">
        <x:v>Ending cash</x:v>
      </x:c>
      <x:c r="F4" s="23" t="str">
        <x:v>Management posture</x:v>
      </x:c>
    </x:row>
    <x:row r="5">
      <x:c r="A5" s="24" t="str">
        <x:v>Downside</x:v>
      </x:c>
      <x:c r="B5" s="48" t="n">
        <x:f>SUM('Monthly_PnL'!$B$5:$G$5)+SUM('Monthly_PnL'!$H$5:$M$5)*'Assumptions'!$B$12*'Assumptions'!$C$12</x:f>
        <x:v>28889.619039999998</x:v>
      </x:c>
      <x:c r="C5" s="48" t="n">
        <x:f>SUM('Monthly_PnL'!$B$12:$G$12)+(SUM('Monthly_PnL'!$H$5:$M$5)*'Assumptions'!$B$12*'Assumptions'!$C$12)-(SUM('Monthly_PnL'!$H$8:$M$8)*'Assumptions'!$B$12*'Assumptions'!$C$12*'Assumptions'!$E$12)-(SUM('Monthly_PnL'!$H$10:$M$10)*'Assumptions'!$D$12)-(SUM('Monthly_PnL'!$H$11:$M$11)*'Assumptions'!$F$12)</x:f>
        <x:v>7502.9972082399945</x:v>
      </x:c>
      <x:c r="D5" s="81" t="n">
        <x:f>IF(B5=0,0,C5/B5)</x:f>
        <x:v>0.259712570036022</x:v>
      </x:c>
      <x:c r="E5" s="48" t="n">
        <x:f>'Cash_Forecast'!$M$10+(C5-SUM('Monthly_PnL'!$B$12:$M$12))-19%*(B5-SUM('Monthly_PnL'!$B$5:$M$5))</x:f>
        <x:v>24612.30959064</x:v>
      </x:c>
      <x:c r="F5" s="82" t="str">
        <x:v>Protect cash; slow hiring; focus retention</x:v>
      </x:c>
    </x:row>
    <x:row r="6">
      <x:c r="A6" s="24" t="str">
        <x:v>Base</x:v>
      </x:c>
      <x:c r="B6" s="48" t="n">
        <x:f>SUM('Monthly_PnL'!$B$5:$G$5)+SUM('Monthly_PnL'!$H$5:$M$5)*'Assumptions'!$B$13*'Assumptions'!$C$13</x:f>
        <x:v>30640.597999999998</x:v>
      </x:c>
      <x:c r="C6" s="48" t="n">
        <x:f>SUM('Monthly_PnL'!$B$12:$G$12)+(SUM('Monthly_PnL'!$H$5:$M$5)*'Assumptions'!$B$13*'Assumptions'!$C$13)-(SUM('Monthly_PnL'!$H$8:$M$8)*'Assumptions'!$B$13*'Assumptions'!$C$13*'Assumptions'!$E$13)-(SUM('Monthly_PnL'!$H$10:$M$10)*'Assumptions'!$D$13)-(SUM('Monthly_PnL'!$H$11:$M$11)*'Assumptions'!$F$13)</x:f>
        <x:v>8764.928699999993</x:v>
      </x:c>
      <x:c r="D6" s="81" t="n">
        <x:f>IF(B6=0,0,C6/B6)</x:f>
        <x:v>0.28605605869702655</x:v>
      </x:c>
      <x:c r="E6" s="48" t="n">
        <x:f>'Cash_Forecast'!$M$10+(C6-SUM('Monthly_PnL'!$B$12:$M$12))-19%*(B6-SUM('Monthly_PnL'!$B$5:$M$5))</x:f>
        <x:v>25541.55508</x:v>
      </x:c>
      <x:c r="F6" s="82" t="str">
        <x:v>Fund priority growth while controlling opex</x:v>
      </x:c>
    </x:row>
    <x:row r="7">
      <x:c r="A7" s="28" t="str">
        <x:v>Upside</x:v>
      </x:c>
      <x:c r="B7" s="54" t="n">
        <x:f>SUM('Monthly_PnL'!$B$5:$G$5)+SUM('Monthly_PnL'!$H$5:$M$5)*'Assumptions'!$B$14*'Assumptions'!$C$14</x:f>
        <x:v>32284.77048</x:v>
      </x:c>
      <x:c r="C7" s="54" t="n">
        <x:f>SUM('Monthly_PnL'!$B$12:$G$12)+(SUM('Monthly_PnL'!$H$5:$M$5)*'Assumptions'!$B$14*'Assumptions'!$C$14)-(SUM('Monthly_PnL'!$H$8:$M$8)*'Assumptions'!$B$14*'Assumptions'!$C$14*'Assumptions'!$E$14)-(SUM('Monthly_PnL'!$H$10:$M$10)*'Assumptions'!$D$14)-(SUM('Monthly_PnL'!$H$11:$M$11)*'Assumptions'!$F$14)</x:f>
        <x:v>9495.108695039995</x:v>
      </x:c>
      <x:c r="D7" s="85" t="n">
        <x:f>IF(B7=0,0,C7/B7)</x:f>
        <x:v>0.29410488455917916</x:v>
      </x:c>
      <x:c r="E7" s="54" t="n">
        <x:f>'Cash_Forecast'!$M$10+(C7-SUM('Monthly_PnL'!$B$12:$M$12))-19%*(B7-SUM('Monthly_PnL'!$B$5:$M$5))</x:f>
        <x:v>25959.34230384</x:v>
      </x:c>
      <x:c r="F7" s="86" t="str">
        <x:v>Accelerate capacity in highest-return segments</x:v>
      </x:c>
    </x:row>
  </x:sheetData>
  <x:mergeCells>
    <x:mergeCell ref="A1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</x:cols>
  <x:sheetData>
    <x:row r="1">
      <x:c r="A1" s="3" t="str">
        <x:v>CASH FORECAST &amp; LIQUIDITY GUARDRAIL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4">
      <x:c r="A4" s="22" t="str">
        <x:v>$000</x:v>
      </x:c>
      <x:c r="B4" s="32" t="str">
        <x:v>Jan 26</x:v>
      </x:c>
      <x:c r="C4" s="32" t="str">
        <x:v>Feb 26</x:v>
      </x:c>
      <x:c r="D4" s="32" t="str">
        <x:v>Mar 26</x:v>
      </x:c>
      <x:c r="E4" s="32" t="str">
        <x:v>Apr 26</x:v>
      </x:c>
      <x:c r="F4" s="32" t="str">
        <x:v>May 26</x:v>
      </x:c>
      <x:c r="G4" s="32" t="str">
        <x:v>Jun 26</x:v>
      </x:c>
      <x:c r="H4" s="32" t="str">
        <x:v>Jul 26</x:v>
      </x:c>
      <x:c r="I4" s="32" t="str">
        <x:v>Aug 26</x:v>
      </x:c>
      <x:c r="J4" s="32" t="str">
        <x:v>Sep 26</x:v>
      </x:c>
      <x:c r="K4" s="32" t="str">
        <x:v>Oct 26</x:v>
      </x:c>
      <x:c r="L4" s="32" t="str">
        <x:v>Nov 26</x:v>
      </x:c>
      <x:c r="M4" s="32" t="str">
        <x:v>Dec 26</x:v>
      </x:c>
      <x:c r="N4" s="32" t="str">
        <x:v>Jan 27</x:v>
      </x:c>
      <x:c r="O4" s="32" t="str">
        <x:v>Feb 27</x:v>
      </x:c>
      <x:c r="P4" s="32" t="str">
        <x:v>Mar 27</x:v>
      </x:c>
      <x:c r="Q4" s="32" t="str">
        <x:v>Apr 27</x:v>
      </x:c>
      <x:c r="R4" s="32" t="str">
        <x:v>May 27</x:v>
      </x:c>
      <x:c r="S4" s="23" t="str">
        <x:v>Jun 27</x:v>
      </x:c>
    </x:row>
    <x:row r="5">
      <x:c r="A5" s="24" t="str">
        <x:v>Beginning cash</x:v>
      </x:c>
      <x:c r="B5" s="49" t="n">
        <x:f>'Assumptions'!$B$7</x:f>
        <x:v>18000</x:v>
      </x:c>
      <x:c r="C5" s="49" t="n">
        <x:f>B10</x:f>
        <x:v>18400.410533333332</x:v>
      </x:c>
      <x:c r="D5" s="49" t="n">
        <x:f>C10</x:f>
        <x:v>18827.494826666665</x:v>
      </x:c>
      <x:c r="E5" s="49" t="n">
        <x:f>D10</x:f>
        <x:v>19439.36858</x:v>
      </x:c>
      <x:c r="F5" s="49" t="n">
        <x:f>E10</x:f>
        <x:v>19914.760753333332</x:v>
      </x:c>
      <x:c r="G5" s="49" t="n">
        <x:f>F10</x:f>
        <x:v>20416.402806666665</x:v>
      </x:c>
      <x:c r="H5" s="49" t="n">
        <x:f>G10</x:f>
        <x:v>21113.95708</x:v>
      </x:c>
      <x:c r="I5" s="49" t="n">
        <x:f>H10</x:f>
        <x:v>21703.746413333334</x:v>
      </x:c>
      <x:c r="J5" s="49" t="n">
        <x:f>I10</x:f>
        <x:v>22326.39374666667</x:v>
      </x:c>
      <x:c r="K5" s="49" t="n">
        <x:f>J10</x:f>
        <x:v>23101.81508</x:v>
      </x:c>
      <x:c r="L5" s="49" t="n">
        <x:f>K10</x:f>
        <x:v>23839.994413333334</x:v>
      </x:c>
      <x:c r="M5" s="49" t="n">
        <x:f>L10</x:f>
        <x:v>24611.907746666668</x:v>
      </x:c>
      <x:c r="N5" s="49" t="n">
        <x:f>M10</x:f>
        <x:v>25541.555080000002</x:v>
      </x:c>
      <x:c r="O5" s="49" t="n">
        <x:f>N10</x:f>
        <x:v>26322.310413333336</x:v>
      </x:c>
      <x:c r="P5" s="49" t="n">
        <x:f>O10</x:f>
        <x:v>27131.83974666667</x:v>
      </x:c>
      <x:c r="Q5" s="49" t="n">
        <x:f>P10</x:f>
        <x:v>28101.26208</x:v>
      </x:c>
      <x:c r="R5" s="49" t="n">
        <x:f>Q10</x:f>
        <x:v>28975.458413333334</x:v>
      </x:c>
      <x:c r="S5" s="50" t="n">
        <x:f>R10</x:f>
        <x:v>29875.627746666665</x:v>
      </x:c>
    </x:row>
    <x:row r="6">
      <x:c r="A6" s="24" t="str">
        <x:v>EBITDA</x:v>
      </x:c>
      <x:c r="B6" s="49" t="n">
        <x:f>'Monthly_PnL'!B12</x:f>
        <x:v>489.3547733333333</x:v>
      </x:c>
      <x:c r="C6" s="49" t="n">
        <x:f>'Monthly_PnL'!C12</x:f>
        <x:v>515.4097533333334</x:v>
      </x:c>
      <x:c r="D6" s="49" t="n">
        <x:f>'Monthly_PnL'!D12</x:f>
        <x:v>722.5391933333328</x:v>
      </x:c>
      <x:c r="E6" s="49" t="n">
        <x:f>'Monthly_PnL'!E12</x:f>
        <x:v>563.5320633333331</x:v>
      </x:c>
      <x:c r="F6" s="49" t="n">
        <x:f>'Monthly_PnL'!F12</x:f>
        <x:v>589.664393333333</x:v>
      </x:c>
      <x:c r="G6" s="49" t="n">
        <x:f>'Monthly_PnL'!G12</x:f>
        <x:v>809.5185233333332</x:v>
      </x:c>
      <x:c r="H6" s="49" t="n">
        <x:f>'Monthly_PnL'!H12</x:f>
        <x:v>690.017333333333</x:v>
      </x:c>
      <x:c r="I6" s="49" t="n">
        <x:f>'Monthly_PnL'!I12</x:f>
        <x:v>724.595333333333</x:v>
      </x:c>
      <x:c r="J6" s="49" t="n">
        <x:f>'Monthly_PnL'!J12</x:f>
        <x:v>885.0893333333329</x:v>
      </x:c>
      <x:c r="K6" s="49" t="n">
        <x:f>'Monthly_PnL'!K12</x:f>
        <x:v>846.1673333333329</x:v>
      </x:c>
      <x:c r="L6" s="49" t="n">
        <x:f>'Monthly_PnL'!L12</x:f>
        <x:v>881.6693333333333</x:v>
      </x:c>
      <x:c r="M6" s="49" t="n">
        <x:f>'Monthly_PnL'!M12</x:f>
        <x:v>1047.3713333333335</x:v>
      </x:c>
      <x:c r="N6" s="49" t="n">
        <x:f>'Monthly_PnL'!N12</x:f>
        <x:v>890.9993333333337</x:v>
      </x:c>
      <x:c r="O6" s="49" t="n">
        <x:f>'Monthly_PnL'!O12</x:f>
        <x:v>921.2933333333331</x:v>
      </x:c>
      <x:c r="P6" s="49" t="n">
        <x:f>'Monthly_PnL'!P12</x:f>
        <x:v>1089.2543333333333</x:v>
      </x:c>
      <x:c r="Q6" s="49" t="n">
        <x:f>'Monthly_PnL'!Q12</x:f>
        <x:v>989.3483333333334</x:v>
      </x:c>
      <x:c r="R6" s="49" t="n">
        <x:f>'Monthly_PnL'!R12</x:f>
        <x:v>1016.6933333333332</x:v>
      </x:c>
      <x:c r="S6" s="50" t="n">
        <x:f>'Monthly_PnL'!S12</x:f>
        <x:v>1192.811333333333</x:v>
      </x:c>
    </x:row>
    <x:row r="7">
      <x:c r="A7" s="24" t="str">
        <x:v>Capex</x:v>
      </x:c>
      <x:c r="B7" s="49" t="n">
        <x:f>-'Monthly_PnL'!B5*4.0%</x:f>
        <x:v>-90.21984</x:v>
      </x:c>
      <x:c r="C7" s="49" t="n">
        <x:f>-'Monthly_PnL'!C5*4.0%</x:f>
        <x:v>-91.48536</x:v>
      </x:c>
      <x:c r="D7" s="49" t="n">
        <x:f>-'Monthly_PnL'!D5*4.0%</x:f>
        <x:v>-101.57903999999999</x:v>
      </x:c>
      <x:c r="E7" s="49" t="n">
        <x:f>-'Monthly_PnL'!E5*4.0%</x:f>
        <x:v>-93.92524</x:v>
      </x:c>
      <x:c r="F7" s="49" t="n">
        <x:f>-'Monthly_PnL'!F5*4.0%</x:f>
        <x:v>-95.17944</x:v>
      </x:c>
      <x:c r="G7" s="49" t="n">
        <x:f>-'Monthly_PnL'!G5*4.0%</x:f>
        <x:v>-105.92300000000002</x:v>
      </x:c>
      <x:c r="H7" s="49" t="n">
        <x:f>-'Monthly_PnL'!H5*4.0%</x:f>
        <x:v>-100.228</x:v>
      </x:c>
      <x:c r="I7" s="49" t="n">
        <x:f>-'Monthly_PnL'!I5*4.0%</x:f>
        <x:v>-101.948</x:v>
      </x:c>
      <x:c r="J7" s="49" t="n">
        <x:f>-'Monthly_PnL'!J5*4.0%</x:f>
        <x:v>-109.66799999999999</x:v>
      </x:c>
      <x:c r="K7" s="49" t="n">
        <x:f>-'Monthly_PnL'!K5*4.0%</x:f>
        <x:v>-107.988</x:v>
      </x:c>
      <x:c r="L7" s="49" t="n">
        <x:f>-'Monthly_PnL'!L5*4.0%</x:f>
        <x:v>-109.756</x:v>
      </x:c>
      <x:c r="M7" s="49" t="n">
        <x:f>-'Monthly_PnL'!M5*4.0%</x:f>
        <x:v>-117.72400000000002</x:v>
      </x:c>
      <x:c r="N7" s="49" t="n">
        <x:f>-'Monthly_PnL'!N5*4.0%</x:f>
        <x:v>-110.24400000000001</x:v>
      </x:c>
      <x:c r="O7" s="49" t="n">
        <x:f>-'Monthly_PnL'!O5*4.0%</x:f>
        <x:v>-111.764</x:v>
      </x:c>
      <x:c r="P7" s="49" t="n">
        <x:f>-'Monthly_PnL'!P5*4.0%</x:f>
        <x:v>-119.83200000000001</x:v>
      </x:c>
      <x:c r="Q7" s="49" t="n">
        <x:f>-'Monthly_PnL'!Q5*4.0%</x:f>
        <x:v>-115.15200000000002</x:v>
      </x:c>
      <x:c r="R7" s="49" t="n">
        <x:f>-'Monthly_PnL'!R5*4.0%</x:f>
        <x:v>-116.524</x:v>
      </x:c>
      <x:c r="S7" s="50" t="n">
        <x:f>-'Monthly_PnL'!S5*4.0%</x:f>
        <x:v>-124.988</x:v>
      </x:c>
    </x:row>
    <x:row r="8">
      <x:c r="A8" s="24" t="str">
        <x:v>Change in NWC</x:v>
      </x:c>
      <x:c r="B8" s="49" t="n">
        <x:f>-'Monthly_PnL'!B7*15%</x:f>
        <x:v>1.2755999999999859</x:v>
      </x:c>
      <x:c r="C8" s="49" t="n">
        <x:f>-'Monthly_PnL'!C7*15%</x:f>
        <x:v>3.1598999999999706</x:v>
      </x:c>
      <x:c r="D8" s="49" t="n">
        <x:f>-'Monthly_PnL'!D7*15%</x:f>
        <x:v>-9.086399999999935</x:v>
      </x:c>
      <x:c r="E8" s="49" t="n">
        <x:f>-'Monthly_PnL'!E7*15%</x:f>
        <x:v>5.785349999999994</x:v>
      </x:c>
      <x:c r="F8" s="49" t="n">
        <x:f>-'Monthly_PnL'!F7*15%</x:f>
        <x:v>7.157099999999991</x:v>
      </x:c>
      <x:c r="G8" s="49" t="n">
        <x:f>-'Monthly_PnL'!G7*15%</x:f>
        <x:v>-6.041250000000013</x:v>
      </x:c>
      <x:c r="H8" s="49" t="n">
        <x:f>-'Monthly_PnL'!H7*15%</x:f>
        <x:v>0</x:v>
      </x:c>
      <x:c r="I8" s="49" t="n">
        <x:f>-'Monthly_PnL'!I7*15%</x:f>
        <x:v>0</x:v>
      </x:c>
      <x:c r="J8" s="49" t="n">
        <x:f>-'Monthly_PnL'!J7*15%</x:f>
        <x:v>0</x:v>
      </x:c>
      <x:c r="K8" s="49" t="n">
        <x:f>-'Monthly_PnL'!K7*15%</x:f>
        <x:v>0</x:v>
      </x:c>
      <x:c r="L8" s="49" t="n">
        <x:f>-'Monthly_PnL'!L7*15%</x:f>
        <x:v>0</x:v>
      </x:c>
      <x:c r="M8" s="49" t="n">
        <x:f>-'Monthly_PnL'!M7*15%</x:f>
        <x:v>0</x:v>
      </x:c>
      <x:c r="N8" s="49" t="n">
        <x:f>-'Monthly_PnL'!N7*15%</x:f>
        <x:v>0</x:v>
      </x:c>
      <x:c r="O8" s="49" t="n">
        <x:f>-'Monthly_PnL'!O7*15%</x:f>
        <x:v>0</x:v>
      </x:c>
      <x:c r="P8" s="49" t="n">
        <x:f>-'Monthly_PnL'!P7*15%</x:f>
        <x:v>0</x:v>
      </x:c>
      <x:c r="Q8" s="49" t="n">
        <x:f>-'Monthly_PnL'!Q7*15%</x:f>
        <x:v>0</x:v>
      </x:c>
      <x:c r="R8" s="49" t="n">
        <x:f>-'Monthly_PnL'!R7*15%</x:f>
        <x:v>0</x:v>
      </x:c>
      <x:c r="S8" s="50" t="n">
        <x:f>-'Monthly_PnL'!S7*15%</x:f>
        <x:v>0</x:v>
      </x:c>
    </x:row>
    <x:row r="9">
      <x:c r="A9" s="24" t="str">
        <x:v>Net cash flow</x:v>
      </x:c>
      <x:c r="B9" s="49" t="n">
        <x:f>SUM(B6:B8)</x:f>
        <x:v>400.41053333333326</x:v>
      </x:c>
      <x:c r="C9" s="49" t="n">
        <x:f>SUM(C6:C8)</x:f>
        <x:v>427.08429333333333</x:v>
      </x:c>
      <x:c r="D9" s="49" t="n">
        <x:f>SUM(D6:D8)</x:f>
        <x:v>611.873753333333</x:v>
      </x:c>
      <x:c r="E9" s="49" t="n">
        <x:f>SUM(E6:E8)</x:f>
        <x:v>475.39217333333306</x:v>
      </x:c>
      <x:c r="F9" s="49" t="n">
        <x:f>SUM(F6:F8)</x:f>
        <x:v>501.642053333333</x:v>
      </x:c>
      <x:c r="G9" s="49" t="n">
        <x:f>SUM(G6:G8)</x:f>
        <x:v>697.5542733333332</x:v>
      </x:c>
      <x:c r="H9" s="49" t="n">
        <x:f>SUM(H6:H8)</x:f>
        <x:v>589.789333333333</x:v>
      </x:c>
      <x:c r="I9" s="49" t="n">
        <x:f>SUM(I6:I8)</x:f>
        <x:v>622.647333333333</x:v>
      </x:c>
      <x:c r="J9" s="49" t="n">
        <x:f>SUM(J6:J8)</x:f>
        <x:v>775.4213333333329</x:v>
      </x:c>
      <x:c r="K9" s="49" t="n">
        <x:f>SUM(K6:K8)</x:f>
        <x:v>738.1793333333328</x:v>
      </x:c>
      <x:c r="L9" s="49" t="n">
        <x:f>SUM(L6:L8)</x:f>
        <x:v>771.9133333333333</x:v>
      </x:c>
      <x:c r="M9" s="49" t="n">
        <x:f>SUM(M6:M8)</x:f>
        <x:v>929.6473333333334</x:v>
      </x:c>
      <x:c r="N9" s="49" t="n">
        <x:f>SUM(N6:N8)</x:f>
        <x:v>780.7553333333336</x:v>
      </x:c>
      <x:c r="O9" s="49" t="n">
        <x:f>SUM(O6:O8)</x:f>
        <x:v>809.529333333333</x:v>
      </x:c>
      <x:c r="P9" s="49" t="n">
        <x:f>SUM(P6:P8)</x:f>
        <x:v>969.4223333333333</x:v>
      </x:c>
      <x:c r="Q9" s="49" t="n">
        <x:f>SUM(Q6:Q8)</x:f>
        <x:v>874.1963333333333</x:v>
      </x:c>
      <x:c r="R9" s="49" t="n">
        <x:f>SUM(R6:R8)</x:f>
        <x:v>900.1693333333332</x:v>
      </x:c>
      <x:c r="S9" s="50" t="n">
        <x:f>SUM(S6:S8)</x:f>
        <x:v>1067.823333333333</x:v>
      </x:c>
    </x:row>
    <x:row r="10">
      <x:c r="A10" s="24" t="str">
        <x:v>Ending cash</x:v>
      </x:c>
      <x:c r="B10" s="49" t="n">
        <x:f>B5+B9</x:f>
        <x:v>18400.410533333332</x:v>
      </x:c>
      <x:c r="C10" s="49" t="n">
        <x:f>C5+C9</x:f>
        <x:v>18827.494826666665</x:v>
      </x:c>
      <x:c r="D10" s="49" t="n">
        <x:f>D5+D9</x:f>
        <x:v>19439.36858</x:v>
      </x:c>
      <x:c r="E10" s="49" t="n">
        <x:f>E5+E9</x:f>
        <x:v>19914.760753333332</x:v>
      </x:c>
      <x:c r="F10" s="49" t="n">
        <x:f>F5+F9</x:f>
        <x:v>20416.402806666665</x:v>
      </x:c>
      <x:c r="G10" s="49" t="n">
        <x:f>G5+G9</x:f>
        <x:v>21113.95708</x:v>
      </x:c>
      <x:c r="H10" s="49" t="n">
        <x:f>H5+H9</x:f>
        <x:v>21703.746413333334</x:v>
      </x:c>
      <x:c r="I10" s="49" t="n">
        <x:f>I5+I9</x:f>
        <x:v>22326.39374666667</x:v>
      </x:c>
      <x:c r="J10" s="49" t="n">
        <x:f>J5+J9</x:f>
        <x:v>23101.81508</x:v>
      </x:c>
      <x:c r="K10" s="49" t="n">
        <x:f>K5+K9</x:f>
        <x:v>23839.994413333334</x:v>
      </x:c>
      <x:c r="L10" s="49" t="n">
        <x:f>L5+L9</x:f>
        <x:v>24611.907746666668</x:v>
      </x:c>
      <x:c r="M10" s="49" t="n">
        <x:f>M5+M9</x:f>
        <x:v>25541.555080000002</x:v>
      </x:c>
      <x:c r="N10" s="49" t="n">
        <x:f>N5+N9</x:f>
        <x:v>26322.310413333336</x:v>
      </x:c>
      <x:c r="O10" s="49" t="n">
        <x:f>O5+O9</x:f>
        <x:v>27131.83974666667</x:v>
      </x:c>
      <x:c r="P10" s="49" t="n">
        <x:f>P5+P9</x:f>
        <x:v>28101.26208</x:v>
      </x:c>
      <x:c r="Q10" s="49" t="n">
        <x:f>Q5+Q9</x:f>
        <x:v>28975.458413333334</x:v>
      </x:c>
      <x:c r="R10" s="49" t="n">
        <x:f>R5+R9</x:f>
        <x:v>29875.627746666665</x:v>
      </x:c>
      <x:c r="S10" s="50" t="n">
        <x:f>S5+S9</x:f>
        <x:v>30943.45108</x:v>
      </x:c>
    </x:row>
    <x:row r="11">
      <x:c r="A11" s="28" t="str">
        <x:v>Guardrail status</x:v>
      </x:c>
      <x:c r="B11" s="52" t="str">
        <x:f>IF(B10&gt;='Assumptions'!$B$8,"PASS","ACTION")</x:f>
        <x:v>PASS</x:v>
      </x:c>
      <x:c r="C11" s="52" t="str">
        <x:f>IF(C10&gt;='Assumptions'!$B$8,"PASS","ACTION")</x:f>
        <x:v>PASS</x:v>
      </x:c>
      <x:c r="D11" s="52" t="str">
        <x:f>IF(D10&gt;='Assumptions'!$B$8,"PASS","ACTION")</x:f>
        <x:v>PASS</x:v>
      </x:c>
      <x:c r="E11" s="52" t="str">
        <x:f>IF(E10&gt;='Assumptions'!$B$8,"PASS","ACTION")</x:f>
        <x:v>PASS</x:v>
      </x:c>
      <x:c r="F11" s="52" t="str">
        <x:f>IF(F10&gt;='Assumptions'!$B$8,"PASS","ACTION")</x:f>
        <x:v>PASS</x:v>
      </x:c>
      <x:c r="G11" s="52" t="str">
        <x:f>IF(G10&gt;='Assumptions'!$B$8,"PASS","ACTION")</x:f>
        <x:v>PASS</x:v>
      </x:c>
      <x:c r="H11" s="52" t="str">
        <x:f>IF(H10&gt;='Assumptions'!$B$8,"PASS","ACTION")</x:f>
        <x:v>PASS</x:v>
      </x:c>
      <x:c r="I11" s="52" t="str">
        <x:f>IF(I10&gt;='Assumptions'!$B$8,"PASS","ACTION")</x:f>
        <x:v>PASS</x:v>
      </x:c>
      <x:c r="J11" s="52" t="str">
        <x:f>IF(J10&gt;='Assumptions'!$B$8,"PASS","ACTION")</x:f>
        <x:v>PASS</x:v>
      </x:c>
      <x:c r="K11" s="52" t="str">
        <x:f>IF(K10&gt;='Assumptions'!$B$8,"PASS","ACTION")</x:f>
        <x:v>PASS</x:v>
      </x:c>
      <x:c r="L11" s="52" t="str">
        <x:f>IF(L10&gt;='Assumptions'!$B$8,"PASS","ACTION")</x:f>
        <x:v>PASS</x:v>
      </x:c>
      <x:c r="M11" s="52" t="str">
        <x:f>IF(M10&gt;='Assumptions'!$B$8,"PASS","ACTION")</x:f>
        <x:v>PASS</x:v>
      </x:c>
      <x:c r="N11" s="52" t="str">
        <x:f>IF(N10&gt;='Assumptions'!$B$8,"PASS","ACTION")</x:f>
        <x:v>PASS</x:v>
      </x:c>
      <x:c r="O11" s="52" t="str">
        <x:f>IF(O10&gt;='Assumptions'!$B$8,"PASS","ACTION")</x:f>
        <x:v>PASS</x:v>
      </x:c>
      <x:c r="P11" s="52" t="str">
        <x:f>IF(P10&gt;='Assumptions'!$B$8,"PASS","ACTION")</x:f>
        <x:v>PASS</x:v>
      </x:c>
      <x:c r="Q11" s="52" t="str">
        <x:f>IF(Q10&gt;='Assumptions'!$B$8,"PASS","ACTION")</x:f>
        <x:v>PASS</x:v>
      </x:c>
      <x:c r="R11" s="52" t="str">
        <x:f>IF(R10&gt;='Assumptions'!$B$8,"PASS","ACTION")</x:f>
        <x:v>PASS</x:v>
      </x:c>
      <x:c r="S11" s="40" t="str">
        <x:f>IF(S10&gt;='Assumptions'!$B$8,"PASS","ACTION")</x:f>
        <x:v>PASS</x:v>
      </x:c>
    </x:row>
  </x:sheetData>
  <x:mergeCells>
    <x:mergeCell ref="A1:S2"/>
  </x:mergeCells>
  <x:conditionalFormatting sqref="B11:S11">
    <x:cfRule type="containsText" dxfId="0" priority="1" operator="containsText" text="PASS"/>
    <x:cfRule type="containsText" dxfId="1" priority="2" operator="containsText" text="ACTION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" t="str">
        <x:v>MODEL CHECKS &amp; CONTROLS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2" t="str">
        <x:v>Check</x:v>
      </x:c>
      <x:c r="B4" s="32" t="str">
        <x:v>Actual</x:v>
      </x:c>
      <x:c r="C4" s="32" t="str">
        <x:v>Expected</x:v>
      </x:c>
      <x:c r="D4" s="32" t="str">
        <x:v>Delta</x:v>
      </x:c>
      <x:c r="E4" s="32" t="str">
        <x:v>Tolerance</x:v>
      </x:c>
      <x:c r="F4" s="23" t="str">
        <x:v>Status</x:v>
      </x:c>
    </x:row>
    <x:row r="5">
      <x:c r="A5" s="24" t="str">
        <x:v>Revenue plan ties to P&amp;L</x:v>
      </x:c>
      <x:c r="B5" s="46" t="n">
        <x:f>SUM('Revenue_Plan'!K5:K58)</x:f>
        <x:v>48103.19799999999</x:v>
      </x:c>
      <x:c r="C5" s="46" t="n">
        <x:f>SUM('Monthly_PnL'!B5:S5)</x:f>
        <x:v>48103.198000000004</x:v>
      </x:c>
      <x:c r="D5" s="46" t="n">
        <x:f>B5-C5</x:f>
        <x:v>-1.4551915228366852e-11</x:v>
      </x:c>
      <x:c r="E5" s="46" t="n">
        <x:v>0.1</x:v>
      </x:c>
      <x:c r="F5" s="38" t="str">
        <x:f>IF(ABS(D5)&lt;=E5,"PASS","FAIL")</x:f>
        <x:v>PASS</x:v>
      </x:c>
    </x:row>
    <x:row r="6">
      <x:c r="A6" s="24" t="str">
        <x:v>Budget ties to P&amp;L</x:v>
      </x:c>
      <x:c r="B6" s="46" t="n">
        <x:f>SUM('Revenue_Plan'!J5:J58)</x:f>
        <x:v>48118.19999999999</x:v>
      </x:c>
      <x:c r="C6" s="46" t="n">
        <x:f>SUM('Monthly_PnL'!B6:S6)</x:f>
        <x:v>48118.200000000004</x:v>
      </x:c>
      <x:c r="D6" s="46" t="n">
        <x:f>B6-C6</x:f>
        <x:v>-1.4551915228366852e-11</x:v>
      </x:c>
      <x:c r="E6" s="46" t="n">
        <x:v>0.1</x:v>
      </x:c>
      <x:c r="F6" s="38" t="str">
        <x:f>IF(ABS(D6)&lt;=E6,"PASS","FAIL")</x:f>
        <x:v>PASS</x:v>
      </x:c>
    </x:row>
    <x:row r="7">
      <x:c r="A7" s="24" t="str">
        <x:v>Variance bridge reconciles</x:v>
      </x:c>
      <x:c r="B7" s="46" t="n">
        <x:f>'Variance'!F8</x:f>
        <x:v>-15.002000000000407</x:v>
      </x:c>
      <x:c r="C7" s="46" t="n">
        <x:f>'Variance'!D8+'Variance'!E8</x:f>
        <x:v>-15.00200000000001</x:v>
      </x:c>
      <x:c r="D7" s="46" t="n">
        <x:f>B7-C7</x:f>
        <x:v>-3.979039320256561e-13</x:v>
      </x:c>
      <x:c r="E7" s="46" t="n">
        <x:v>0.1</x:v>
      </x:c>
      <x:c r="F7" s="38" t="str">
        <x:f>IF(ABS(D7)&lt;=E7,"PASS","FAIL")</x:f>
        <x:v>PASS</x:v>
      </x:c>
    </x:row>
    <x:row r="8">
      <x:c r="A8" s="24" t="str">
        <x:v>Headcount roll-forward</x:v>
      </x:c>
      <x:c r="B8" s="46" t="n">
        <x:f>'Headcount'!B9+'Headcount'!C9-'Headcount'!D9</x:f>
        <x:v>111</x:v>
      </x:c>
      <x:c r="C8" s="46" t="n">
        <x:f>'Headcount'!E9</x:f>
        <x:v>111</x:v>
      </x:c>
      <x:c r="D8" s="46" t="n">
        <x:f>B8-C8</x:f>
        <x:v>0</x:v>
      </x:c>
      <x:c r="E8" s="46" t="n">
        <x:v>0.1</x:v>
      </x:c>
      <x:c r="F8" s="38" t="str">
        <x:f>IF(ABS(D8)&lt;=E8,"PASS","FAIL")</x:f>
        <x:v>PASS</x:v>
      </x:c>
    </x:row>
    <x:row r="9">
      <x:c r="A9" s="24" t="str">
        <x:v>Cash roll-forward</x:v>
      </x:c>
      <x:c r="B9" s="46" t="n">
        <x:f>'Cash_Forecast'!S5+'Cash_Forecast'!S9</x:f>
        <x:v>30943.45108</x:v>
      </x:c>
      <x:c r="C9" s="46" t="n">
        <x:f>'Cash_Forecast'!S10</x:f>
        <x:v>30943.45108</x:v>
      </x:c>
      <x:c r="D9" s="46" t="n">
        <x:f>B9-C9</x:f>
        <x:v>0</x:v>
      </x:c>
      <x:c r="E9" s="46" t="n">
        <x:v>0.1</x:v>
      </x:c>
      <x:c r="F9" s="38" t="str">
        <x:f>IF(ABS(D9)&lt;=E9,"PASS","FAIL")</x:f>
        <x:v>PASS</x:v>
      </x:c>
    </x:row>
    <x:row r="10">
      <x:c r="A10" s="28" t="str">
        <x:v>Scenario selector valid</x:v>
      </x:c>
      <x:c r="B10" s="52" t="n">
        <x:f>COUNTIF('Assumptions'!A12:A14,'Assumptions'!B5)</x:f>
        <x:v>1</x:v>
      </x:c>
      <x:c r="C10" s="52" t="n">
        <x:f>1</x:f>
        <x:v>1</x:v>
      </x:c>
      <x:c r="D10" s="52" t="n">
        <x:f>B10-C10</x:f>
        <x:v>0</x:v>
      </x:c>
      <x:c r="E10" s="52" t="n">
        <x:v>0.1</x:v>
      </x:c>
      <x:c r="F10" s="40" t="str">
        <x:f>IF(ABS(D10)&lt;=E10,"PASS","FAIL")</x:f>
        <x:v>PASS</x:v>
      </x:c>
    </x:row>
    <x:row r="11">
      <x:c r="A11" t="str">
        <x:v>Base scenario revenue ties</x:v>
      </x:c>
      <x:c r="B11" t="n">
        <x:f>'Scenarios'!B6</x:f>
        <x:v>30640.597999999998</x:v>
      </x:c>
      <x:c r="C11" t="n">
        <x:f>SUM('Monthly_PnL'!B5:M5)</x:f>
        <x:v>30640.598000000005</x:v>
      </x:c>
      <x:c r="D11" t="n">
        <x:f>B11-C11</x:f>
        <x:v>-7.275957614183426e-12</x:v>
      </x:c>
      <x:c r="E11" t="n">
        <x:v>0.1</x:v>
      </x:c>
      <x:c r="F11" t="str">
        <x:f>IF(ABS(D11)&lt;=E11,"PASS","FAIL")</x:f>
        <x:v>PASS</x:v>
      </x:c>
    </x:row>
    <x:row r="12">
      <x:c r="A12" s="143" t="str">
        <x:v>Base scenario EBITDA ties</x:v>
      </x:c>
      <x:c r="B12" s="143" t="n">
        <x:f>'Scenarios'!C6</x:f>
        <x:v>8764.928699999993</x:v>
      </x:c>
      <x:c r="C12" t="n">
        <x:f>SUM('Monthly_PnL'!B12:M12)</x:f>
        <x:v>8764.928699999997</x:v>
      </x:c>
      <x:c r="D12" t="n">
        <x:f>B12-C12</x:f>
        <x:v>-3.637978807091713e-12</x:v>
      </x:c>
      <x:c r="E12" t="n">
        <x:v>0.1</x:v>
      </x:c>
      <x:c r="F12" t="str">
        <x:f>IF(ABS(D12)&lt;=E12,"PASS","FAIL")</x:f>
        <x:v>PASS</x:v>
      </x:c>
    </x:row>
    <x:row r="13">
      <x:c r="A13" t="str">
        <x:v>Base scenario cash ties</x:v>
      </x:c>
      <x:c r="B13" t="n">
        <x:f>'Scenarios'!E6</x:f>
        <x:v>25541.55508</x:v>
      </x:c>
      <x:c r="C13" t="n">
        <x:f>'Cash_Forecast'!M10</x:f>
        <x:v>25541.555080000002</x:v>
      </x:c>
      <x:c r="D13" t="n">
        <x:f>B13-C13</x:f>
        <x:v>-3.637978807091713e-12</x:v>
      </x:c>
      <x:c r="E13" t="n">
        <x:v>0.1</x:v>
      </x:c>
      <x:c r="F13" t="str">
        <x:f>IF(ABS(D13)&lt;=E13,"PASS","FAIL")</x:f>
        <x:v>PASS</x:v>
      </x:c>
    </x:row>
    <x:row r="14">
      <x:c r="A14" t="str">
        <x:v>Closed-month variable costs immutable</x:v>
      </x:c>
      <x:c r="B14" t="n">
        <x:f>SUM('Monthly_PnL'!B8:G8)</x:f>
        <x:v>2852.3293000000003</x:v>
      </x:c>
      <x:c r="C14" t="n">
        <x:f>SUMPRODUCT('Revenue_Plan'!$K$5:$K$7,'Assumptions'!$C$18:$C$20)+SUMPRODUCT('Revenue_Plan'!$K$8:$K$10,'Assumptions'!$C$18:$C$20)+SUMPRODUCT('Revenue_Plan'!$K$11:$K$13,'Assumptions'!$C$18:$C$20)+SUMPRODUCT('Revenue_Plan'!$K$14:$K$16,'Assumptions'!$C$18:$C$20)+SUMPRODUCT('Revenue_Plan'!$K$17:$K$19,'Assumptions'!$C$18:$C$20)+SUMPRODUCT('Revenue_Plan'!$K$20:$K$22,'Assumptions'!$C$18:$C$20)</x:f>
        <x:v>2852.3293000000003</x:v>
      </x:c>
      <x:c r="D14" t="n">
        <x:f>B14-C14</x:f>
        <x:v>0</x:v>
      </x:c>
      <x:c r="E14" t="n">
        <x:v>0.1</x:v>
      </x:c>
      <x:c r="F14" t="str">
        <x:f>IF(ABS(D14)&lt;=E14,"PASS","FAIL")</x:f>
        <x:v>PASS</x:v>
      </x:c>
    </x:row>
    <x:row r="16">
      <x:c r="A16" t="str">
        <x:v>MODEL STATUS</x:v>
      </x:c>
      <x:c r="B16" t="str">
        <x:f>IF(COUNTIF(F5:F14,"FAIL")=0,"PASS","FAIL")</x:f>
        <x:v>PASS</x:v>
      </x:c>
      <x:c r="C16"/>
      <x:c r="D16"/>
      <x:c r="E16"/>
      <x:c r="F16"/>
    </x:row>
  </x:sheetData>
  <x:mergeCells>
    <x:mergeCell ref="A1:F2"/>
  </x:mergeCells>
  <x:conditionalFormatting sqref="F5:F10">
    <x:cfRule type="containsText" dxfId="2" priority="1" operator="containsText" text="PASS"/>
    <x:cfRule type="containsText" dxfId="3" priority="2" operator="containsText" text="FAIL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7" hidden="0" customWidth="1"/>
    <x:col min="6" max="6" width="38" hidden="0" customWidth="1"/>
  </x:cols>
  <x:sheetData>
    <x:row r="1">
      <x:c r="A1" s="3" t="str">
        <x:v>SOURCE, REFRESH &amp; DEFINITION LOG</x:v>
      </x:c>
      <x:c r="B1" s="3"/>
      <x:c r="C1" s="3"/>
      <x:c r="D1" s="3"/>
      <x:c r="E1" s="3"/>
      <x:c r="F1" s="3"/>
    </x:row>
    <x:row r="2">
      <x:c r="A2" s="3"/>
      <x:c r="B2" s="3"/>
      <x:c r="C2" s="3"/>
      <x:c r="D2" s="3"/>
      <x:c r="E2" s="3"/>
      <x:c r="F2" s="3"/>
    </x:row>
    <x:row r="4">
      <x:c r="A4" s="22" t="str">
        <x:v>Item</x:v>
      </x:c>
      <x:c r="B4" s="32" t="str">
        <x:v>Source type</x:v>
      </x:c>
      <x:c r="C4" s="32" t="str">
        <x:v>Owner</x:v>
      </x:c>
      <x:c r="D4" s="32" t="str">
        <x:v>As-of / refresh</x:v>
      </x:c>
      <x:c r="E4" s="32" t="str">
        <x:v>Definition</x:v>
      </x:c>
      <x:c r="F4" s="23" t="str">
        <x:v>Notes</x:v>
      </x:c>
    </x:row>
    <x:row r="5">
      <x:c r="A5" s="144" t="str">
        <x:v>Revenue actuals</x:v>
      </x:c>
      <x:c r="B5" s="145" t="str">
        <x:v>Synthetic CRM/billing extract</x:v>
      </x:c>
      <x:c r="C5" s="145" t="str">
        <x:v>Revenue Operations</x:v>
      </x:c>
      <x:c r="D5" s="145" t="str">
        <x:v>2026-06-30</x:v>
      </x:c>
      <x:c r="E5" s="145" t="str">
        <x:v>Units × realized price by product</x:v>
      </x:c>
      <x:c r="F5" s="82" t="str">
        <x:v>Replace actual driver cells monthly</x:v>
      </x:c>
    </x:row>
    <x:row r="6">
      <x:c r="A6" s="144" t="str">
        <x:v>Revenue budget</x:v>
      </x:c>
      <x:c r="B6" s="145" t="str">
        <x:v>Synthetic FY2026 operating plan</x:v>
      </x:c>
      <x:c r="C6" s="145" t="str">
        <x:v>FP&amp;A</x:v>
      </x:c>
      <x:c r="D6" s="145" t="str">
        <x:v>2025-12-15</x:v>
      </x:c>
      <x:c r="E6" s="145" t="str">
        <x:v>Budget units × standard price</x:v>
      </x:c>
      <x:c r="F6" s="82" t="str">
        <x:v>Locked planning baseline</x:v>
      </x:c>
    </x:row>
    <x:row r="7">
      <x:c r="A7" s="144" t="str">
        <x:v>Headcount plan</x:v>
      </x:c>
      <x:c r="B7" s="145" t="str">
        <x:v>Synthetic HRIS plan</x:v>
      </x:c>
      <x:c r="C7" s="145" t="str">
        <x:v>People Finance</x:v>
      </x:c>
      <x:c r="D7" s="145" t="str">
        <x:v>2026-06-30</x:v>
      </x:c>
      <x:c r="E7" s="145" t="str">
        <x:v>Opening + hires − attrition</x:v>
      </x:c>
      <x:c r="F7" s="82" t="str">
        <x:v>Scenario-adjusted hiring</x:v>
      </x:c>
    </x:row>
    <x:row r="8">
      <x:c r="A8" s="144" t="str">
        <x:v>Opex plan</x:v>
      </x:c>
      <x:c r="B8" s="145" t="str">
        <x:v>Synthetic department submissions</x:v>
      </x:c>
      <x:c r="C8" s="145" t="str">
        <x:v>Budget owners</x:v>
      </x:c>
      <x:c r="D8" s="145" t="str">
        <x:v>2026-06-30</x:v>
      </x:c>
      <x:c r="E8" s="145" t="str">
        <x:v>Annual functional spend</x:v>
      </x:c>
      <x:c r="F8" s="82" t="str">
        <x:v>Owner actions documented</x:v>
      </x:c>
    </x:row>
    <x:row r="9">
      <x:c r="A9" s="144" t="str">
        <x:v>Cash forecast</x:v>
      </x:c>
      <x:c r="B9" s="145" t="str">
        <x:v>Model-derived</x:v>
      </x:c>
      <x:c r="C9" s="145" t="str">
        <x:v>Treasury / FP&amp;A</x:v>
      </x:c>
      <x:c r="D9" s="145" t="str">
        <x:v>2026-06-30</x:v>
      </x:c>
      <x:c r="E9" s="145" t="str">
        <x:v>Beginning cash + net cash flow</x:v>
      </x:c>
      <x:c r="F9" s="82" t="str">
        <x:v>Minimum-cash guardrail = $3.0m</x:v>
      </x:c>
    </x:row>
    <x:row r="10">
      <x:c r="A10" s="144" t="str">
        <x:v>Scenario selector</x:v>
      </x:c>
      <x:c r="B10" s="145" t="str">
        <x:v>Assumptions sheet</x:v>
      </x:c>
      <x:c r="C10" s="145" t="str">
        <x:v>FP&amp;A</x:v>
      </x:c>
      <x:c r="D10" s="145" t="str">
        <x:v>2026-07-01</x:v>
      </x:c>
      <x:c r="E10" s="145" t="str">
        <x:v>Downside / Base / Upside</x:v>
      </x:c>
      <x:c r="F10" s="82" t="str">
        <x:v>Centralized control</x:v>
      </x:c>
    </x:row>
    <x:row r="11">
      <x:c r="A11" s="146" t="str">
        <x:v>Data classification</x:v>
      </x:c>
      <x:c r="B11" s="147" t="str">
        <x:v>Synthetic / portfolio-safe</x:v>
      </x:c>
      <x:c r="C11" s="147" t="str">
        <x:v>Nguyen Tuan Khoi</x:v>
      </x:c>
      <x:c r="D11" s="147" t="str">
        <x:v>2026-08-02</x:v>
      </x:c>
      <x:c r="E11" s="147" t="str">
        <x:v>No confidential or CFI course data</x:v>
      </x:c>
      <x:c r="F11" s="86" t="str">
        <x:v>Educational use</x:v>
      </x:c>
    </x:row>
  </x:sheetData>
  <x:mergeCells>
    <x:mergeCell ref="A1:F2"/>
  </x:mergeCells>
  <x:pageMargins left="0.7" right="0.7" top="0.75" bottom="0.75" header="0.3" footer="0.3"/>
</x:worksheet>
</file>