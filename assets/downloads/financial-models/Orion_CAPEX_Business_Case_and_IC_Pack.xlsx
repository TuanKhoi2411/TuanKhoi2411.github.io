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ae143bb9f8a4348" /></Relationships>
</file>

<file path=xl/workbook.xml><?xml version="1.0" encoding="utf-8"?>
<x:workbook xmlns:x="http://schemas.openxmlformats.org/spreadsheetml/2006/main">
  <x:sheets>
    <x:sheet xmlns:r="http://schemas.openxmlformats.org/officeDocument/2006/relationships" name="Cover" sheetId="1" r:id="R8379acf7ae9147c3"/>
    <x:sheet xmlns:r="http://schemas.openxmlformats.org/officeDocument/2006/relationships" name="Assumptions" sheetId="2" r:id="Ra9c85066fd83460f"/>
    <x:sheet xmlns:r="http://schemas.openxmlformats.org/officeDocument/2006/relationships" name="Scenarios" sheetId="3" r:id="R978eb0abf988429e"/>
    <x:sheet xmlns:r="http://schemas.openxmlformats.org/officeDocument/2006/relationships" name="Capex_Schedule" sheetId="4" r:id="Rf726720e23834f2a"/>
    <x:sheet xmlns:r="http://schemas.openxmlformats.org/officeDocument/2006/relationships" name="Operating_Case" sheetId="5" r:id="R2d0561660d3945ac"/>
    <x:sheet xmlns:r="http://schemas.openxmlformats.org/officeDocument/2006/relationships" name="Cash_Flow" sheetId="6" r:id="R262a08891a574533"/>
    <x:sheet xmlns:r="http://schemas.openxmlformats.org/officeDocument/2006/relationships" name="Returns" sheetId="7" r:id="R6f2ef09842e44a35"/>
    <x:sheet xmlns:r="http://schemas.openxmlformats.org/officeDocument/2006/relationships" name="Sensitivity" sheetId="8" r:id="R037df315aad44f28"/>
    <x:sheet xmlns:r="http://schemas.openxmlformats.org/officeDocument/2006/relationships" name="Risk_Register" sheetId="9" r:id="R0f8ae1e12faa4577"/>
    <x:sheet xmlns:r="http://schemas.openxmlformats.org/officeDocument/2006/relationships" name="IC_Pack" sheetId="10" r:id="R937a41e43df346b2"/>
    <x:sheet xmlns:r="http://schemas.openxmlformats.org/officeDocument/2006/relationships" name="Checks" sheetId="11" r:id="R164760d8f2bd4558"/>
    <x:sheet xmlns:r="http://schemas.openxmlformats.org/officeDocument/2006/relationships" name="Sources" sheetId="12" r:id="Rb06edacb514a43d9"/>
  </x:sheets>
</x:workbook>
</file>

<file path=xl/comments1.xml><?xml version="1.0" encoding="utf-8"?>
<x:comments xmlns:x="http://schemas.openxmlformats.org/spreadsheetml/2006/main">
  <x:authors>
    <x:author>tc={7A9D4BB3-59B9-567F-9C0D-E73CBA9B2EB3}</x:author>
    <x:author>tc={D7BCDAE3-8A4E-EC4C-8565-BB1C135AB96A}</x:author>
    <x:author>tc={024ED2DA-F9CB-2985-5546-7F996CEA60C3}</x:author>
    <x:author>tc={C3A108BA-A2DD-C44C-5112-0976B0F3A83D}</x:author>
  </x:authors>
  <x:commentList>
    <x:comment ref="B11" authorId="0">
      <x:text>
        <x:r>
          <x:t>[Threaded comment]
Your version of Excel allows you to read this threaded comment; however, any edits to it will get removed if the file is opened in a newer version of Excel. Learn more: https://go.microsoft.com/fwlink/?linkid=870924
Comment:
    Assumption: illustrative discount rate for synthetic IC case | Owner: Finance | Date: 2026-08-23</x:t>
        </x:r>
      </x:text>
    </x:comment>
    <x:comment ref="B12" authorId="1">
      <x:text>
        <x:r>
          <x:t>[Threaded comment]
Your version of Excel allows you to read this threaded comment; however, any edits to it will get removed if the file is opened in a newer version of Excel. Learn more: https://go.microsoft.com/fwlink/?linkid=870924
Comment:
    Policy assumption: minimum IRR hurdle for project approval | Owner: Investment Committee</x:t>
        </x:r>
      </x:text>
    </x:comment>
    <x:comment ref="B14" authorId="2">
      <x:text>
        <x:r>
          <x:t>[Threaded comment]
Your version of Excel allows you to read this threaded comment; however, any edits to it will get removed if the file is opened in a newer version of Excel. Learn more: https://go.microsoft.com/fwlink/?linkid=870924
Comment:
    Governance assumption: maximum installed-cost approval ceiling before re-submission</x:t>
        </x:r>
      </x:text>
    </x:comment>
    <x:comment ref="B25" authorId="3">
      <x:text>
        <x:r>
          <x:t>[Threaded comment]
Your version of Excel allows you to read this threaded comment; however, any edits to it will get removed if the file is opened in a newer version of Excel. Learn more: https://go.microsoft.com/fwlink/?linkid=870924
Comment:
    Design assumption: contingency held centrally against pre-go-live scope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0%;[Red](0.0%);-"/>
    <x:numFmt numFmtId="201" formatCode="yyyy-mm-dd"/>
    <x:numFmt numFmtId="202" formatCode="$#,##0;[Red]($#,##0);-"/>
    <x:numFmt numFmtId="203" formatCode="#,##0;[Red](#,##0);-"/>
    <x:numFmt numFmtId="204" formatCode="$0.00"/>
    <x:numFmt numFmtId="205" formatCode="0.000x"/>
    <x:numFmt numFmtId="206" formatCode="0.0 &quot;years&quot;"/>
    <x:numFmt numFmtId="207" formatCode="0.0x;[Red](0.0x);-"/>
    <x:numFmt numFmtId="208" formatCode="0"/>
    <x:numFmt numFmtId="209" formatCode="@"/>
  </x:numFmts>
  <x:fonts count="22">
    <x:font>
      <x:sz val="11"/>
      <x:name val="Carlito"/>
    </x:font>
    <x:font>
      <x:b/>
      <x:sz val="20"/>
      <x:color rgb="FFFFFFFF"/>
      <x:name val="Carlito"/>
    </x:font>
    <x:font>
      <x:i/>
      <x:sz val="10"/>
      <x:color rgb="FF667085"/>
      <x:name val="Carlito"/>
    </x:font>
    <x:font>
      <x:b/>
      <x:sz val="11"/>
      <x:color rgb="FFFFFFFF"/>
      <x:name val="Carlito"/>
    </x:font>
    <x:font>
      <x:sz val="11"/>
      <x:color rgb="FF121828"/>
      <x:name val="Carlito"/>
    </x:font>
    <x:font>
      <x:sz val="11"/>
      <x:color rgb="FF0000FF"/>
      <x:name val="Carlito"/>
    </x:font>
    <x:font>
      <x:b/>
      <x:sz val="10"/>
      <x:color rgb="FFFFFFFF"/>
      <x:name val="Carlito"/>
    </x:font>
    <x:font>
      <x:sz val="11"/>
      <x:color rgb="FF008000"/>
      <x:name val="Carlito"/>
    </x:font>
    <x:font>
      <x:sz val="11"/>
      <x:color rgb="FF667085"/>
      <x:name val="Carlito"/>
    </x:font>
    <x:font>
      <x:b/>
      <x:sz val="11"/>
      <x:color rgb="FF121828"/>
      <x:name val="Carlito"/>
    </x:font>
    <x:font>
      <x:b/>
      <x:sz val="11"/>
      <x:color rgb="FF008000"/>
      <x:name val="Carlito"/>
    </x:font>
    <x:font>
      <x:b/>
      <x:sz val="14"/>
      <x:color rgb="FF121828"/>
      <x:name val="Carlito"/>
    </x:font>
    <x:font>
      <x:b/>
      <x:sz val="9"/>
      <x:color rgb="FFFFFFFF"/>
      <x:name val="Carlito"/>
    </x:font>
    <x:font>
      <x:b/>
      <x:sz val="20"/>
      <x:color rgb="FF12836D"/>
      <x:name val="Carlito"/>
    </x:font>
    <x:font>
      <x:b/>
      <x:sz val="20"/>
      <x:color rgb="FF315CFF"/>
      <x:name val="Carlito"/>
    </x:font>
    <x:font>
      <x:b/>
      <x:sz val="20"/>
      <x:color rgb="FFFF6846"/>
      <x:name val="Carlito"/>
    </x:font>
    <x:font>
      <x:b/>
      <x:sz val="20"/>
      <x:color rgb="FF121828"/>
      <x:name val="Carlito"/>
    </x:font>
    <x:font>
      <x:sz val="12"/>
      <x:color rgb="FF121828"/>
      <x:name val="Carlito"/>
    </x:font>
    <x:font>
      <x:sz val="11"/>
      <x:color rgb="FFFFFFFF"/>
      <x:name val="Carlito"/>
    </x:font>
    <x:font>
      <x:b/>
      <x:i/>
      <x:sz val="14"/>
      <x:color rgb="FF121828"/>
      <x:name val="Carlito"/>
    </x:font>
    <x:font>
      <x:b/>
      <x:sz val="18"/>
      <x:color rgb="FF121828"/>
      <x:name val="Carlito"/>
    </x:font>
    <x:font>
      <x:b/>
      <x:sz val="12"/>
      <x:color rgb="FF315CFF"/>
      <x:name val="Carlito"/>
    </x:font>
  </x:fonts>
  <x:fills count="10">
    <x:fill>
      <x:patternFill patternType="none"/>
    </x:fill>
    <x:fill>
      <x:patternFill patternType="gray125"/>
    </x:fill>
    <x:fill>
      <x:patternFill patternType="solid">
        <x:fgColor rgb="FF121828"/>
      </x:patternFill>
    </x:fill>
    <x:fill>
      <x:patternFill patternType="solid">
        <x:fgColor rgb="FFF4F1E9"/>
      </x:patternFill>
    </x:fill>
    <x:fill>
      <x:patternFill patternType="solid">
        <x:fgColor rgb="FF202B3C"/>
      </x:patternFill>
    </x:fill>
    <x:fill>
      <x:patternFill patternType="solid">
        <x:fgColor rgb="FFFFFDF8"/>
      </x:patternFill>
    </x:fill>
    <x:fill>
      <x:patternFill patternType="solid">
        <x:fgColor rgb="FFFFF4C2"/>
      </x:patternFill>
    </x:fill>
    <x:fill>
      <x:patternFill patternType="solid">
        <x:fgColor rgb="FFEEF3FF"/>
      </x:patternFill>
    </x:fill>
    <x:fill>
      <x:patternFill patternType="solid">
        <x:fgColor rgb="FFEAF7F2"/>
      </x:patternFill>
    </x:fill>
    <x:fill>
      <x:patternFill patternType="solid">
        <x:fgColor rgb="FFC8EF45"/>
      </x:patternFill>
    </x:fill>
  </x:fills>
  <x:borders count="23">
    <x:border/>
    <x:border>
      <x:right style="thin">
        <x:color rgb="FFC9C5B9"/>
      </x:right>
    </x:border>
    <x:border>
      <x:left style="thin">
        <x:color rgb="FFC9C5B9"/>
      </x:left>
      <x:right style="thin">
        <x:color rgb="FFC9C5B9"/>
      </x:right>
    </x:border>
    <x:border>
      <x:left style="thin">
        <x:color rgb="FFC9C5B9"/>
      </x:left>
    </x:border>
    <x:border>
      <x:bottom style="thin">
        <x:color rgb="FFC9C5B9"/>
      </x:bottom>
    </x:border>
    <x:border>
      <x:top style="thin">
        <x:color rgb="FFC9C5B9"/>
      </x:top>
      <x:bottom style="thin">
        <x:color rgb="FFC9C5B9"/>
      </x:bottom>
    </x:border>
    <x:border>
      <x:top style="thin">
        <x:color rgb="FFC9C5B9"/>
      </x:top>
    </x:border>
    <x:border>
      <x:left style="thin">
        <x:color rgb="FFC9C5B9"/>
      </x:left>
      <x:top style="thin">
        <x:color rgb="FFC9C5B9"/>
      </x:top>
    </x:border>
    <x:border>
      <x:right style="thin">
        <x:color rgb="FFC9C5B9"/>
      </x:right>
      <x:top style="thin">
        <x:color rgb="FFC9C5B9"/>
      </x:top>
    </x:border>
    <x:border>
      <x:left style="thin">
        <x:color rgb="FFC9C5B9"/>
      </x:left>
      <x:bottom style="thin">
        <x:color rgb="FFC9C5B9"/>
      </x:bottom>
    </x:border>
    <x:border>
      <x:right style="thin">
        <x:color rgb="FFC9C5B9"/>
      </x:right>
      <x:bottom style="thin">
        <x:color rgb="FFC9C5B9"/>
      </x:bottom>
    </x:border>
    <x:border>
      <x:left style="medium">
        <x:color rgb="FF121828"/>
      </x:left>
      <x:top style="medium">
        <x:color rgb="FF121828"/>
      </x:top>
      <x:bottom style="medium">
        <x:color rgb="FF121828"/>
      </x:bottom>
    </x:border>
    <x:border>
      <x:top style="medium">
        <x:color rgb="FF121828"/>
      </x:top>
      <x:bottom style="medium">
        <x:color rgb="FF121828"/>
      </x:bottom>
    </x:border>
    <x:border>
      <x:right style="medium">
        <x:color rgb="FF121828"/>
      </x:right>
      <x:top style="medium">
        <x:color rgb="FF121828"/>
      </x:top>
      <x:bottom style="medium">
        <x:color rgb="FF121828"/>
      </x:bottom>
    </x:border>
    <x:border>
      <x:left style="medium">
        <x:color rgb="FF121828"/>
      </x:left>
      <x:top style="medium">
        <x:color rgb="FF121828"/>
      </x:top>
    </x:border>
    <x:border>
      <x:top style="medium">
        <x:color rgb="FF121828"/>
      </x:top>
    </x:border>
    <x:border>
      <x:right style="medium">
        <x:color rgb="FF121828"/>
      </x:right>
      <x:top style="medium">
        <x:color rgb="FF121828"/>
      </x:top>
    </x:border>
    <x:border>
      <x:left style="medium">
        <x:color rgb="FF121828"/>
      </x:left>
    </x:border>
    <x:border>
      <x:right style="medium">
        <x:color rgb="FF121828"/>
      </x:right>
    </x:border>
    <x:border>
      <x:left style="medium">
        <x:color rgb="FF121828"/>
      </x:left>
      <x:bottom style="medium">
        <x:color rgb="FF121828"/>
      </x:bottom>
    </x:border>
    <x:border>
      <x:bottom style="medium">
        <x:color rgb="FF121828"/>
      </x:bottom>
    </x:border>
    <x:border>
      <x:right style="medium">
        <x:color rgb="FF121828"/>
      </x:right>
      <x:bottom style="medium">
        <x:color rgb="FF121828"/>
      </x:bottom>
    </x:border>
    <x:border>
      <x:left style="thin">
        <x:color rgb="FFC9C5B9"/>
      </x:left>
      <x:right style="thin">
        <x:color rgb="FFC9C5B9"/>
      </x:right>
      <x:top style="thin">
        <x:color rgb="FFC9C5B9"/>
      </x:top>
      <x:bottom style="thin">
        <x:color rgb="FFC9C5B9"/>
      </x:bottom>
    </x:border>
  </x:borders>
  <x:cellStyleXfs count="1">
    <x:xf numFmtId="0" fontId="0" fillId="0" borderId="0"/>
  </x:cellStyleXfs>
  <x:cellXfs count="3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4" xfId="0" applyNumberFormat="1" applyFont="1" applyFill="1" applyBorder="1" applyAlignment="1">
      <x:alignment vertical="center"/>
    </x:xf>
    <x:xf numFmtId="0" fontId="4" fillId="5" borderId="5" xfId="0" applyNumberFormat="1" applyFont="1" applyFill="1" applyBorder="1" applyAlignment="1">
      <x:alignment vertical="center"/>
    </x:xf>
    <x:xf numFmtId="0" fontId="4" fillId="5" borderId="6" xfId="0" applyNumberFormat="1" applyFont="1" applyFill="1" applyBorder="1" applyAlignment="1">
      <x:alignment vertical="center"/>
    </x:xf>
    <x:xf numFmtId="0" fontId="4" fillId="6" borderId="4" xfId="0" applyNumberFormat="1" applyFont="1" applyFill="1" applyBorder="1" applyAlignment="1">
      <x:alignment vertical="center"/>
    </x:xf>
    <x:xf numFmtId="0" fontId="4" fillId="6" borderId="5" xfId="0" applyNumberFormat="1" applyFont="1" applyFill="1" applyBorder="1" applyAlignment="1">
      <x:alignment vertical="center"/>
    </x:xf>
    <x:xf numFmtId="0" fontId="4" fillId="6" borderId="6" xfId="0" applyNumberFormat="1" applyFont="1" applyFill="1" applyBorder="1" applyAlignment="1">
      <x:alignment vertical="center"/>
    </x:xf>
    <x:xf numFmtId="0" fontId="5" fillId="6" borderId="4" xfId="0" applyNumberFormat="1" applyFont="1" applyFill="1" applyBorder="1" applyAlignment="1">
      <x:alignment vertical="center"/>
    </x:xf>
    <x:xf numFmtId="0" fontId="5" fillId="6" borderId="5" xfId="0" applyNumberFormat="1" applyFont="1" applyFill="1" applyBorder="1" applyAlignment="1">
      <x:alignment vertical="center"/>
    </x:xf>
    <x:xf numFmtId="0" fontId="5" fillId="6" borderId="6" xfId="0" applyNumberFormat="1" applyFont="1" applyFill="1" applyBorder="1" applyAlignment="1">
      <x:alignment vertical="center"/>
    </x:xf>
    <x:xf numFmtId="200" fontId="5" fillId="6" borderId="4" xfId="0" applyNumberFormat="1" applyFont="1" applyFill="1" applyBorder="1" applyAlignment="1">
      <x:alignment vertical="center"/>
    </x:xf>
    <x:xf numFmtId="200" fontId="5" fillId="6" borderId="5" xfId="0" applyNumberFormat="1" applyFont="1" applyFill="1" applyBorder="1" applyAlignment="1">
      <x:alignment vertical="center"/>
    </x:xf>
    <x:xf numFmtId="200" fontId="5" fillId="6" borderId="6" xfId="0" applyNumberFormat="1" applyFont="1" applyFill="1" applyBorder="1" applyAlignment="1">
      <x:alignment vertical="center"/>
    </x:xf>
    <x:xf numFmtId="0" fontId="6" fillId="4" borderId="0" xfId="0" applyNumberFormat="1" applyFont="1" applyFill="1" applyBorder="1"/>
    <x:xf numFmtId="0" fontId="6" fillId="4" borderId="0" xfId="0" applyNumberFormat="1" applyFont="1" applyFill="1" applyBorder="1" applyAlignment="1">
      <x:alignment vertical="center"/>
    </x:xf>
    <x:xf numFmtId="201" fontId="5" fillId="6" borderId="5" xfId="0" applyNumberFormat="1" applyFont="1" applyFill="1" applyBorder="1" applyAlignment="1">
      <x:alignment vertical="center"/>
    </x:xf>
    <x:xf numFmtId="202" fontId="5" fillId="6" borderId="5" xfId="0" applyNumberFormat="1" applyFont="1" applyFill="1" applyBorder="1" applyAlignment="1">
      <x:alignment vertical="center"/>
    </x:xf>
    <x:xf numFmtId="202" fontId="5" fillId="6" borderId="4" xfId="0" applyNumberFormat="1" applyFont="1" applyFill="1" applyBorder="1" applyAlignment="1">
      <x:alignment vertical="center"/>
    </x:xf>
    <x:xf numFmtId="203" fontId="5" fillId="6" borderId="4" xfId="0" applyNumberFormat="1" applyFont="1" applyFill="1" applyBorder="1" applyAlignment="1">
      <x:alignment vertical="center"/>
    </x:xf>
    <x:xf numFmtId="204" fontId="5" fillId="6" borderId="5" xfId="0" applyNumberFormat="1" applyFont="1" applyFill="1" applyBorder="1" applyAlignment="1">
      <x:alignment vertical="center"/>
    </x:xf>
    <x:xf numFmtId="202" fontId="5" fillId="6" borderId="6" xfId="0" applyNumberFormat="1" applyFont="1" applyFill="1" applyBorder="1" applyAlignment="1">
      <x:alignment vertical="center"/>
    </x:xf>
    <x:xf numFmtId="0" fontId="7" fillId="5" borderId="4" xfId="0" applyNumberFormat="1" applyFont="1" applyFill="1" applyBorder="1" applyAlignment="1">
      <x:alignment vertical="center"/>
    </x:xf>
    <x:xf numFmtId="0" fontId="7" fillId="5" borderId="5" xfId="0" applyNumberFormat="1" applyFont="1" applyFill="1" applyBorder="1" applyAlignment="1">
      <x:alignment vertical="center"/>
    </x:xf>
    <x:xf numFmtId="0" fontId="7" fillId="5" borderId="6" xfId="0" applyNumberFormat="1" applyFont="1" applyFill="1" applyBorder="1" applyAlignment="1">
      <x:alignment vertical="center"/>
    </x:xf>
    <x:xf numFmtId="200" fontId="7" fillId="5" borderId="4" xfId="0" applyNumberFormat="1" applyFont="1" applyFill="1" applyBorder="1" applyAlignment="1">
      <x:alignment vertical="center"/>
    </x:xf>
    <x:xf numFmtId="200" fontId="7" fillId="5" borderId="5" xfId="0" applyNumberFormat="1" applyFont="1" applyFill="1" applyBorder="1" applyAlignment="1">
      <x:alignment vertical="center"/>
    </x:xf>
    <x:xf numFmtId="200" fontId="7" fillId="5" borderId="6" xfId="0" applyNumberFormat="1" applyFont="1" applyFill="1" applyBorder="1" applyAlignment="1">
      <x:alignment vertical="center"/>
    </x:xf>
    <x:xf numFmtId="0" fontId="0" fillId="7" borderId="0" xfId="0" applyNumberFormat="1" applyFont="1" applyFill="1" applyBorder="1"/>
    <x:xf numFmtId="0" fontId="8" fillId="7" borderId="0" xfId="0" applyNumberFormat="1" applyFont="1" applyFill="1" applyBorder="1"/>
    <x:xf numFmtId="0" fontId="8" fillId="7" borderId="7" xfId="0" applyNumberFormat="1" applyFont="1" applyFill="1" applyBorder="1"/>
    <x:xf numFmtId="0" fontId="8" fillId="7" borderId="6" xfId="0" applyNumberFormat="1" applyFont="1" applyFill="1" applyBorder="1"/>
    <x:xf numFmtId="0" fontId="8" fillId="7" borderId="8" xfId="0" applyNumberFormat="1" applyFont="1" applyFill="1" applyBorder="1"/>
    <x:xf numFmtId="0" fontId="8" fillId="7" borderId="3" xfId="0" applyNumberFormat="1" applyFont="1" applyFill="1" applyBorder="1"/>
    <x:xf numFmtId="0" fontId="8" fillId="7" borderId="1" xfId="0" applyNumberFormat="1" applyFont="1" applyFill="1" applyBorder="1"/>
    <x:xf numFmtId="0" fontId="8" fillId="7" borderId="9" xfId="0" applyNumberFormat="1" applyFont="1" applyFill="1" applyBorder="1"/>
    <x:xf numFmtId="0" fontId="8" fillId="7" borderId="4" xfId="0" applyNumberFormat="1" applyFont="1" applyFill="1" applyBorder="1"/>
    <x:xf numFmtId="0" fontId="8" fillId="7" borderId="10" xfId="0" applyNumberFormat="1" applyFont="1" applyFill="1" applyBorder="1"/>
    <x:xf numFmtId="0" fontId="8" fillId="7" borderId="7" xfId="0" applyNumberFormat="1" applyFont="1" applyFill="1" applyBorder="1" applyAlignment="1">
      <x:alignment wrapText="1"/>
    </x:xf>
    <x:xf numFmtId="0" fontId="8" fillId="7" borderId="6" xfId="0" applyNumberFormat="1" applyFont="1" applyFill="1" applyBorder="1" applyAlignment="1">
      <x:alignment wrapText="1"/>
    </x:xf>
    <x:xf numFmtId="0" fontId="8" fillId="7" borderId="8" xfId="0" applyNumberFormat="1" applyFont="1" applyFill="1" applyBorder="1" applyAlignment="1">
      <x:alignment wrapText="1"/>
    </x:xf>
    <x:xf numFmtId="0" fontId="8" fillId="7" borderId="3" xfId="0" applyNumberFormat="1" applyFont="1" applyFill="1" applyBorder="1" applyAlignment="1">
      <x:alignment wrapText="1"/>
    </x:xf>
    <x:xf numFmtId="0" fontId="8" fillId="7" borderId="0" xfId="0" applyNumberFormat="1" applyFont="1" applyFill="1" applyBorder="1" applyAlignment="1">
      <x:alignment wrapText="1"/>
    </x:xf>
    <x:xf numFmtId="0" fontId="8" fillId="7" borderId="1" xfId="0" applyNumberFormat="1" applyFont="1" applyFill="1" applyBorder="1" applyAlignment="1">
      <x:alignment wrapText="1"/>
    </x:xf>
    <x:xf numFmtId="0" fontId="8" fillId="7" borderId="9" xfId="0" applyNumberFormat="1" applyFont="1" applyFill="1" applyBorder="1" applyAlignment="1">
      <x:alignment wrapText="1"/>
    </x:xf>
    <x:xf numFmtId="0" fontId="8" fillId="7" borderId="4" xfId="0" applyNumberFormat="1" applyFont="1" applyFill="1" applyBorder="1" applyAlignment="1">
      <x:alignment wrapText="1"/>
    </x:xf>
    <x:xf numFmtId="0" fontId="8" fillId="7" borderId="10" xfId="0" applyNumberFormat="1" applyFont="1" applyFill="1" applyBorder="1" applyAlignment="1">
      <x:alignment wrapText="1"/>
    </x:xf>
    <x:xf numFmtId="0" fontId="8" fillId="7" borderId="7"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8" xfId="0" applyNumberFormat="1" applyFont="1" applyFill="1" applyBorder="1" applyAlignment="1">
      <x:alignment vertical="top" wrapText="1"/>
    </x:xf>
    <x:xf numFmtId="0" fontId="8" fillId="7" borderId="3"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202" fontId="4" fillId="5" borderId="4" xfId="0" applyNumberFormat="1" applyFont="1" applyFill="1" applyBorder="1" applyAlignment="1">
      <x:alignment vertical="center"/>
    </x:xf>
    <x:xf numFmtId="202" fontId="4" fillId="5" borderId="5" xfId="0" applyNumberFormat="1" applyFont="1" applyFill="1" applyBorder="1" applyAlignment="1">
      <x:alignment vertical="center"/>
    </x:xf>
    <x:xf numFmtId="202" fontId="4" fillId="5" borderId="6" xfId="0" applyNumberFormat="1" applyFont="1" applyFill="1" applyBorder="1" applyAlignment="1">
      <x:alignment vertical="center"/>
    </x:xf>
    <x:xf numFmtId="200" fontId="4" fillId="5" borderId="4" xfId="0" applyNumberFormat="1" applyFont="1" applyFill="1" applyBorder="1" applyAlignment="1">
      <x:alignment vertical="center"/>
    </x:xf>
    <x:xf numFmtId="200" fontId="4" fillId="5" borderId="5" xfId="0" applyNumberFormat="1" applyFont="1" applyFill="1" applyBorder="1" applyAlignment="1">
      <x:alignment vertical="center"/>
    </x:xf>
    <x:xf numFmtId="200" fontId="4" fillId="5" borderId="6" xfId="0" applyNumberFormat="1" applyFont="1" applyFill="1" applyBorder="1" applyAlignment="1">
      <x:alignment vertical="center"/>
    </x:xf>
    <x:xf numFmtId="202" fontId="7" fillId="5" borderId="4" xfId="0" applyNumberFormat="1" applyFont="1" applyFill="1" applyBorder="1" applyAlignment="1">
      <x:alignment vertical="center"/>
    </x:xf>
    <x:xf numFmtId="202" fontId="7" fillId="5" borderId="5" xfId="0" applyNumberFormat="1" applyFont="1" applyFill="1" applyBorder="1" applyAlignment="1">
      <x:alignment vertical="center"/>
    </x:xf>
    <x:xf numFmtId="202" fontId="7" fillId="5" borderId="6" xfId="0" applyNumberFormat="1" applyFont="1" applyFill="1" applyBorder="1" applyAlignment="1">
      <x:alignment vertical="center"/>
    </x:xf>
    <x:xf numFmtId="0" fontId="3" fillId="2" borderId="0" xfId="0" applyNumberFormat="1" applyFont="1" applyFill="1" applyBorder="1"/>
    <x:xf numFmtId="0" fontId="3" fillId="2" borderId="11" xfId="0" applyNumberFormat="1" applyFont="1" applyFill="1" applyBorder="1"/>
    <x:xf numFmtId="0" fontId="3" fillId="2" borderId="12" xfId="0" applyNumberFormat="1" applyFont="1" applyFill="1" applyBorder="1"/>
    <x:xf numFmtId="0" fontId="3" fillId="2" borderId="13" xfId="0" applyNumberFormat="1" applyFont="1" applyFill="1" applyBorder="1"/>
    <x:xf numFmtId="202" fontId="3" fillId="2" borderId="11" xfId="0" applyNumberFormat="1" applyFont="1" applyFill="1" applyBorder="1"/>
    <x:xf numFmtId="202" fontId="3" fillId="2" borderId="12" xfId="0" applyNumberFormat="1" applyFont="1" applyFill="1" applyBorder="1"/>
    <x:xf numFmtId="202" fontId="3" fillId="2" borderId="13" xfId="0" applyNumberFormat="1" applyFont="1" applyFill="1" applyBorder="1"/>
    <x:xf numFmtId="203" fontId="4" fillId="5" borderId="5" xfId="0" applyNumberFormat="1" applyFont="1" applyFill="1" applyBorder="1" applyAlignment="1">
      <x:alignment vertical="center"/>
    </x:xf>
    <x:xf numFmtId="204" fontId="4" fillId="5" borderId="5" xfId="0" applyNumberFormat="1" applyFont="1" applyFill="1" applyBorder="1" applyAlignment="1">
      <x:alignment vertical="center"/>
    </x:xf>
    <x:xf numFmtId="203" fontId="7" fillId="5" borderId="5" xfId="0" applyNumberFormat="1" applyFont="1" applyFill="1" applyBorder="1" applyAlignment="1">
      <x:alignment vertical="center"/>
    </x:xf>
    <x:xf numFmtId="204" fontId="7" fillId="5" borderId="5" xfId="0" applyNumberFormat="1" applyFont="1" applyFill="1" applyBorder="1" applyAlignment="1">
      <x:alignment vertical="center"/>
    </x:xf>
    <x:xf numFmtId="0" fontId="4" fillId="8" borderId="5" xfId="0" applyNumberFormat="1" applyFont="1" applyFill="1" applyBorder="1" applyAlignment="1">
      <x:alignment vertical="center"/>
    </x:xf>
    <x:xf numFmtId="202" fontId="7" fillId="8" borderId="5" xfId="0" applyNumberFormat="1" applyFont="1" applyFill="1" applyBorder="1" applyAlignment="1">
      <x:alignment vertical="center"/>
    </x:xf>
    <x:xf numFmtId="0" fontId="9" fillId="8" borderId="5" xfId="0" applyNumberFormat="1" applyFont="1" applyFill="1" applyBorder="1" applyAlignment="1">
      <x:alignment vertical="center"/>
    </x:xf>
    <x:xf numFmtId="202" fontId="9" fillId="8" borderId="5" xfId="0" applyNumberFormat="1" applyFont="1" applyFill="1" applyBorder="1" applyAlignment="1">
      <x:alignment vertical="center"/>
    </x:xf>
    <x:xf numFmtId="0" fontId="4" fillId="9" borderId="5" xfId="0" applyNumberFormat="1" applyFont="1" applyFill="1" applyBorder="1" applyAlignment="1">
      <x:alignment vertical="center"/>
    </x:xf>
    <x:xf numFmtId="202" fontId="7" fillId="9" borderId="5" xfId="0" applyNumberFormat="1" applyFont="1" applyFill="1" applyBorder="1" applyAlignment="1">
      <x:alignment vertical="center"/>
    </x:xf>
    <x:xf numFmtId="0" fontId="9" fillId="9" borderId="5" xfId="0" applyNumberFormat="1" applyFont="1" applyFill="1" applyBorder="1" applyAlignment="1">
      <x:alignment vertical="center"/>
    </x:xf>
    <x:xf numFmtId="202" fontId="9" fillId="9" borderId="5" xfId="0" applyNumberFormat="1" applyFont="1" applyFill="1" applyBorder="1" applyAlignment="1">
      <x:alignment vertical="center"/>
    </x:xf>
    <x:xf numFmtId="0" fontId="4" fillId="8" borderId="6" xfId="0" applyNumberFormat="1" applyFont="1" applyFill="1" applyBorder="1" applyAlignment="1">
      <x:alignment vertical="center"/>
    </x:xf>
    <x:xf numFmtId="202" fontId="7" fillId="8" borderId="6" xfId="0" applyNumberFormat="1" applyFont="1" applyFill="1" applyBorder="1" applyAlignment="1">
      <x:alignment vertical="center"/>
    </x:xf>
    <x:xf numFmtId="0" fontId="9" fillId="8" borderId="6" xfId="0" applyNumberFormat="1" applyFont="1" applyFill="1" applyBorder="1" applyAlignment="1">
      <x:alignment vertical="center"/>
    </x:xf>
    <x:xf numFmtId="202" fontId="9" fillId="8" borderId="6" xfId="0" applyNumberFormat="1" applyFont="1" applyFill="1" applyBorder="1" applyAlignment="1">
      <x:alignment vertical="center"/>
    </x:xf>
    <x:xf numFmtId="205" fontId="4" fillId="5" borderId="5" xfId="0" applyNumberFormat="1" applyFont="1" applyFill="1" applyBorder="1" applyAlignment="1">
      <x:alignment vertical="center"/>
    </x:xf>
    <x:xf numFmtId="205" fontId="7" fillId="5" borderId="5" xfId="0" applyNumberFormat="1" applyFont="1" applyFill="1" applyBorder="1" applyAlignment="1">
      <x:alignment vertical="center"/>
    </x:xf>
    <x:xf numFmtId="0" fontId="4" fillId="2" borderId="5" xfId="0" applyNumberFormat="1" applyFont="1" applyFill="1" applyBorder="1" applyAlignment="1">
      <x:alignment vertical="center"/>
    </x:xf>
    <x:xf numFmtId="202" fontId="7" fillId="2" borderId="5" xfId="0" applyNumberFormat="1" applyFont="1" applyFill="1" applyBorder="1" applyAlignment="1">
      <x:alignment vertical="center"/>
    </x:xf>
    <x:xf numFmtId="0" fontId="3" fillId="2" borderId="5" xfId="0" applyNumberFormat="1" applyFont="1" applyFill="1" applyBorder="1" applyAlignment="1">
      <x:alignment vertical="center"/>
    </x:xf>
    <x:xf numFmtId="202" fontId="3" fillId="2" borderId="5" xfId="0" applyNumberFormat="1" applyFont="1" applyFill="1" applyBorder="1" applyAlignment="1">
      <x:alignment vertical="center"/>
    </x:xf>
    <x:xf numFmtId="0" fontId="4" fillId="7" borderId="5" xfId="0" applyNumberFormat="1" applyFont="1" applyFill="1" applyBorder="1" applyAlignment="1">
      <x:alignment vertical="center"/>
    </x:xf>
    <x:xf numFmtId="202" fontId="7" fillId="7" borderId="5" xfId="0" applyNumberFormat="1" applyFont="1" applyFill="1" applyBorder="1" applyAlignment="1">
      <x:alignment vertical="center"/>
    </x:xf>
    <x:xf numFmtId="0" fontId="4" fillId="7" borderId="6" xfId="0" applyNumberFormat="1" applyFont="1" applyFill="1" applyBorder="1" applyAlignment="1">
      <x:alignment vertical="center"/>
    </x:xf>
    <x:xf numFmtId="202" fontId="7" fillId="7" borderId="6" xfId="0" applyNumberFormat="1" applyFont="1" applyFill="1" applyBorder="1" applyAlignment="1">
      <x:alignment vertical="center"/>
    </x:xf>
    <x:xf numFmtId="0" fontId="9" fillId="7" borderId="5" xfId="0" applyNumberFormat="1" applyFont="1" applyFill="1" applyBorder="1" applyAlignment="1">
      <x:alignment vertical="center"/>
    </x:xf>
    <x:xf numFmtId="202" fontId="9" fillId="7" borderId="5" xfId="0" applyNumberFormat="1" applyFont="1" applyFill="1" applyBorder="1" applyAlignment="1">
      <x:alignment vertical="center"/>
    </x:xf>
    <x:xf numFmtId="0" fontId="9" fillId="7" borderId="6" xfId="0" applyNumberFormat="1" applyFont="1" applyFill="1" applyBorder="1" applyAlignment="1">
      <x:alignment vertical="center"/>
    </x:xf>
    <x:xf numFmtId="202" fontId="9" fillId="7" borderId="6" xfId="0" applyNumberFormat="1" applyFont="1" applyFill="1" applyBorder="1" applyAlignment="1">
      <x:alignment vertical="center"/>
    </x:xf>
    <x:xf numFmtId="206" fontId="4" fillId="5" borderId="5" xfId="0" applyNumberFormat="1" applyFont="1" applyFill="1" applyBorder="1" applyAlignment="1">
      <x:alignment vertical="center"/>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horizontal="center"/>
    </x:xf>
    <x:xf numFmtId="207" fontId="4" fillId="5" borderId="5" xfId="0" applyNumberFormat="1" applyFont="1" applyFill="1" applyBorder="1" applyAlignment="1">
      <x:alignment vertical="center"/>
    </x:xf>
    <x:xf numFmtId="202" fontId="10" fillId="5" borderId="4" xfId="0" applyNumberFormat="1" applyFont="1" applyFill="1" applyBorder="1" applyAlignment="1">
      <x:alignment vertical="center"/>
    </x:xf>
    <x:xf numFmtId="200" fontId="10" fillId="5" borderId="5" xfId="0" applyNumberFormat="1" applyFont="1" applyFill="1" applyBorder="1" applyAlignment="1">
      <x:alignment vertical="center"/>
    </x:xf>
    <x:xf numFmtId="206" fontId="10" fillId="5" borderId="5" xfId="0" applyNumberFormat="1" applyFont="1" applyFill="1" applyBorder="1" applyAlignment="1">
      <x:alignment vertical="center"/>
    </x:xf>
    <x:xf numFmtId="207" fontId="10" fillId="5" borderId="5" xfId="0" applyNumberFormat="1" applyFont="1" applyFill="1" applyBorder="1" applyAlignment="1">
      <x:alignment vertical="center"/>
    </x:xf>
    <x:xf numFmtId="202" fontId="10" fillId="5" borderId="5" xfId="0" applyNumberFormat="1" applyFont="1" applyFill="1" applyBorder="1" applyAlignment="1">
      <x:alignment vertical="center"/>
    </x:xf>
    <x:xf numFmtId="0" fontId="10" fillId="5" borderId="6" xfId="0" applyNumberFormat="1" applyFont="1" applyFill="1" applyBorder="1" applyAlignment="1">
      <x:alignment vertical="center"/>
    </x:xf>
    <x:xf numFmtId="200" fontId="3" fillId="4" borderId="2" xfId="0" applyNumberFormat="1" applyFont="1" applyFill="1" applyBorder="1" applyAlignment="1">
      <x:alignment horizontal="center" vertical="center" wrapText="1"/>
    </x:xf>
    <x:xf numFmtId="200" fontId="3" fillId="4" borderId="3" xfId="0" applyNumberFormat="1" applyFont="1" applyFill="1" applyBorder="1" applyAlignment="1">
      <x:alignment horizontal="center" vertical="center" wrapText="1"/>
    </x:xf>
    <x:xf numFmtId="200" fontId="3" fillId="4" borderId="0" xfId="0" applyNumberFormat="1" applyFont="1" applyFill="1" applyBorder="1"/>
    <x:xf numFmtId="208" fontId="5" fillId="6" borderId="4" xfId="0" applyNumberFormat="1" applyFont="1" applyFill="1" applyBorder="1" applyAlignment="1">
      <x:alignment vertical="center"/>
    </x:xf>
    <x:xf numFmtId="208" fontId="5" fillId="6" borderId="5" xfId="0" applyNumberFormat="1" applyFont="1" applyFill="1" applyBorder="1" applyAlignment="1">
      <x:alignment vertical="center"/>
    </x:xf>
    <x:xf numFmtId="208" fontId="5" fillId="6" borderId="6" xfId="0" applyNumberFormat="1" applyFont="1" applyFill="1" applyBorder="1" applyAlignment="1">
      <x:alignment vertical="center"/>
    </x:xf>
    <x:xf numFmtId="0" fontId="11" fillId="9" borderId="0" xfId="0" applyNumberFormat="1" applyFont="1" applyFill="1" applyBorder="1"/>
    <x:xf numFmtId="0" fontId="11" fillId="9" borderId="0" xfId="0" applyNumberFormat="1" applyFont="1" applyFill="1" applyBorder="1" applyAlignment="1">
      <x:alignment horizontal="center"/>
    </x:xf>
    <x:xf numFmtId="0" fontId="11" fillId="9" borderId="0" xfId="0" applyNumberFormat="1" applyFont="1" applyFill="1" applyBorder="1" applyAlignment="1">
      <x:alignment horizontal="center" vertical="center"/>
    </x:xf>
    <x:xf numFmtId="0" fontId="0" fillId="5" borderId="14"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0" fillId="5" borderId="17" xfId="0" applyNumberFormat="1" applyFont="1" applyFill="1" applyBorder="1"/>
    <x:xf numFmtId="0" fontId="0" fillId="5" borderId="18" xfId="0" applyNumberFormat="1" applyFont="1" applyFill="1" applyBorder="1"/>
    <x:xf numFmtId="0" fontId="0" fillId="5" borderId="19" xfId="0" applyNumberFormat="1" applyFont="1" applyFill="1" applyBorder="1"/>
    <x:xf numFmtId="0" fontId="0" fillId="5" borderId="20" xfId="0" applyNumberFormat="1" applyFont="1" applyFill="1" applyBorder="1"/>
    <x:xf numFmtId="0" fontId="0" fillId="5" borderId="21" xfId="0" applyNumberFormat="1" applyFont="1" applyFill="1" applyBorder="1"/>
    <x:xf numFmtId="0" fontId="0" fillId="5" borderId="14" xfId="0" applyNumberFormat="1" applyFont="1" applyFill="1" applyBorder="1" applyAlignment="1">
      <x:alignment vertical="center"/>
    </x:xf>
    <x:xf numFmtId="0" fontId="0" fillId="5" borderId="15" xfId="0" applyNumberFormat="1" applyFont="1" applyFill="1" applyBorder="1" applyAlignment="1">
      <x:alignment vertical="center"/>
    </x:xf>
    <x:xf numFmtId="0" fontId="0" fillId="5" borderId="16" xfId="0" applyNumberFormat="1" applyFont="1" applyFill="1" applyBorder="1" applyAlignment="1">
      <x:alignment vertical="center"/>
    </x:xf>
    <x:xf numFmtId="0" fontId="0" fillId="5" borderId="17" xfId="0" applyNumberFormat="1" applyFont="1" applyFill="1" applyBorder="1" applyAlignment="1">
      <x:alignment vertical="center"/>
    </x:xf>
    <x:xf numFmtId="0" fontId="0" fillId="5" borderId="0" xfId="0" applyNumberFormat="1" applyFont="1" applyFill="1" applyBorder="1" applyAlignment="1">
      <x:alignment vertical="center"/>
    </x:xf>
    <x:xf numFmtId="0" fontId="0" fillId="5" borderId="18" xfId="0" applyNumberFormat="1" applyFont="1" applyFill="1" applyBorder="1" applyAlignment="1">
      <x:alignment vertical="center"/>
    </x:xf>
    <x:xf numFmtId="0" fontId="0" fillId="5" borderId="19" xfId="0" applyNumberFormat="1" applyFont="1" applyFill="1" applyBorder="1" applyAlignment="1">
      <x:alignment vertical="center"/>
    </x:xf>
    <x:xf numFmtId="0" fontId="0" fillId="5" borderId="20" xfId="0" applyNumberFormat="1" applyFont="1" applyFill="1" applyBorder="1" applyAlignment="1">
      <x:alignment vertical="center"/>
    </x:xf>
    <x:xf numFmtId="0" fontId="0" fillId="5" borderId="21" xfId="0" applyNumberFormat="1" applyFont="1" applyFill="1" applyBorder="1" applyAlignment="1">
      <x:alignment vertical="center"/>
    </x:xf>
    <x:xf numFmtId="0" fontId="0" fillId="4" borderId="14" xfId="0" applyNumberFormat="1" applyFont="1" applyFill="1" applyBorder="1" applyAlignment="1">
      <x:alignment vertical="center"/>
    </x:xf>
    <x:xf numFmtId="0" fontId="0" fillId="4" borderId="15" xfId="0" applyNumberFormat="1" applyFont="1" applyFill="1" applyBorder="1" applyAlignment="1">
      <x:alignment vertical="center"/>
    </x:xf>
    <x:xf numFmtId="0" fontId="0" fillId="4" borderId="16" xfId="0" applyNumberFormat="1" applyFont="1" applyFill="1" applyBorder="1" applyAlignment="1">
      <x:alignment vertical="center"/>
    </x:xf>
    <x:xf numFmtId="0" fontId="12" fillId="4" borderId="14" xfId="0" applyNumberFormat="1" applyFont="1" applyFill="1" applyBorder="1" applyAlignment="1">
      <x:alignment vertical="center"/>
    </x:xf>
    <x:xf numFmtId="0" fontId="12" fillId="4" borderId="15" xfId="0" applyNumberFormat="1" applyFont="1" applyFill="1" applyBorder="1" applyAlignment="1">
      <x:alignment vertical="center"/>
    </x:xf>
    <x:xf numFmtId="0" fontId="12" fillId="4" borderId="16" xfId="0" applyNumberFormat="1" applyFont="1" applyFill="1" applyBorder="1" applyAlignment="1">
      <x:alignment vertical="center"/>
    </x:xf>
    <x:xf numFmtId="0" fontId="12" fillId="4" borderId="14" xfId="0" applyNumberFormat="1" applyFont="1" applyFill="1" applyBorder="1" applyAlignment="1">
      <x:alignment horizontal="center" vertical="center"/>
    </x:xf>
    <x:xf numFmtId="0" fontId="12" fillId="4" borderId="15" xfId="0" applyNumberFormat="1" applyFont="1" applyFill="1" applyBorder="1" applyAlignment="1">
      <x:alignment horizontal="center" vertical="center"/>
    </x:xf>
    <x:xf numFmtId="0" fontId="12" fillId="4" borderId="16" xfId="0" applyNumberFormat="1" applyFont="1" applyFill="1" applyBorder="1" applyAlignment="1">
      <x:alignment horizontal="center" vertical="center"/>
    </x:xf>
    <x:xf numFmtId="0" fontId="13" fillId="5" borderId="17" xfId="0" applyNumberFormat="1" applyFont="1" applyFill="1" applyBorder="1" applyAlignment="1">
      <x:alignment vertical="center"/>
    </x:xf>
    <x:xf numFmtId="0" fontId="13" fillId="5" borderId="0" xfId="0" applyNumberFormat="1" applyFont="1" applyFill="1" applyBorder="1" applyAlignment="1">
      <x:alignment vertical="center"/>
    </x:xf>
    <x:xf numFmtId="0" fontId="13" fillId="5" borderId="18" xfId="0" applyNumberFormat="1" applyFont="1" applyFill="1" applyBorder="1" applyAlignment="1">
      <x:alignment vertical="center"/>
    </x:xf>
    <x:xf numFmtId="0" fontId="13" fillId="5" borderId="19" xfId="0" applyNumberFormat="1" applyFont="1" applyFill="1" applyBorder="1" applyAlignment="1">
      <x:alignment vertical="center"/>
    </x:xf>
    <x:xf numFmtId="0" fontId="13" fillId="5" borderId="20" xfId="0" applyNumberFormat="1" applyFont="1" applyFill="1" applyBorder="1" applyAlignment="1">
      <x:alignment vertical="center"/>
    </x:xf>
    <x:xf numFmtId="0" fontId="13" fillId="5" borderId="21" xfId="0" applyNumberFormat="1" applyFont="1" applyFill="1" applyBorder="1" applyAlignment="1">
      <x:alignment vertical="center"/>
    </x:xf>
    <x:xf numFmtId="202" fontId="13" fillId="5" borderId="17" xfId="0" applyNumberFormat="1" applyFont="1" applyFill="1" applyBorder="1" applyAlignment="1">
      <x:alignment vertical="center"/>
    </x:xf>
    <x:xf numFmtId="202" fontId="13" fillId="5" borderId="0" xfId="0" applyNumberFormat="1" applyFont="1" applyFill="1" applyBorder="1" applyAlignment="1">
      <x:alignment vertical="center"/>
    </x:xf>
    <x:xf numFmtId="202" fontId="13" fillId="5" borderId="18" xfId="0" applyNumberFormat="1" applyFont="1" applyFill="1" applyBorder="1" applyAlignment="1">
      <x:alignment vertical="center"/>
    </x:xf>
    <x:xf numFmtId="202" fontId="13" fillId="5" borderId="19" xfId="0" applyNumberFormat="1" applyFont="1" applyFill="1" applyBorder="1" applyAlignment="1">
      <x:alignment vertical="center"/>
    </x:xf>
    <x:xf numFmtId="202" fontId="13" fillId="5" borderId="20" xfId="0" applyNumberFormat="1" applyFont="1" applyFill="1" applyBorder="1" applyAlignment="1">
      <x:alignment vertical="center"/>
    </x:xf>
    <x:xf numFmtId="202" fontId="13" fillId="5" borderId="21" xfId="0" applyNumberFormat="1" applyFont="1" applyFill="1" applyBorder="1" applyAlignment="1">
      <x:alignment vertical="center"/>
    </x:xf>
    <x:xf numFmtId="202" fontId="13" fillId="5" borderId="17" xfId="0" applyNumberFormat="1" applyFont="1" applyFill="1" applyBorder="1" applyAlignment="1">
      <x:alignment horizontal="center" vertical="center"/>
    </x:xf>
    <x:xf numFmtId="202" fontId="13" fillId="5" borderId="0" xfId="0" applyNumberFormat="1" applyFont="1" applyFill="1" applyBorder="1" applyAlignment="1">
      <x:alignment horizontal="center" vertical="center"/>
    </x:xf>
    <x:xf numFmtId="202" fontId="13" fillId="5" borderId="18" xfId="0" applyNumberFormat="1" applyFont="1" applyFill="1" applyBorder="1" applyAlignment="1">
      <x:alignment horizontal="center" vertical="center"/>
    </x:xf>
    <x:xf numFmtId="202" fontId="13" fillId="5" borderId="19" xfId="0" applyNumberFormat="1" applyFont="1" applyFill="1" applyBorder="1" applyAlignment="1">
      <x:alignment horizontal="center" vertical="center"/>
    </x:xf>
    <x:xf numFmtId="202" fontId="13" fillId="5" borderId="20" xfId="0" applyNumberFormat="1" applyFont="1" applyFill="1" applyBorder="1" applyAlignment="1">
      <x:alignment horizontal="center" vertical="center"/>
    </x:xf>
    <x:xf numFmtId="202" fontId="13" fillId="5" borderId="21" xfId="0" applyNumberFormat="1" applyFont="1" applyFill="1" applyBorder="1" applyAlignment="1">
      <x:alignment horizontal="center" vertical="center"/>
    </x:xf>
    <x:xf numFmtId="0" fontId="14" fillId="5" borderId="17" xfId="0" applyNumberFormat="1" applyFont="1" applyFill="1" applyBorder="1" applyAlignment="1">
      <x:alignment vertical="center"/>
    </x:xf>
    <x:xf numFmtId="0" fontId="14" fillId="5" borderId="0" xfId="0" applyNumberFormat="1" applyFont="1" applyFill="1" applyBorder="1" applyAlignment="1">
      <x:alignment vertical="center"/>
    </x:xf>
    <x:xf numFmtId="0" fontId="14" fillId="5" borderId="18" xfId="0" applyNumberFormat="1" applyFont="1" applyFill="1" applyBorder="1" applyAlignment="1">
      <x:alignment vertical="center"/>
    </x:xf>
    <x:xf numFmtId="0" fontId="14" fillId="5" borderId="19" xfId="0" applyNumberFormat="1" applyFont="1" applyFill="1" applyBorder="1" applyAlignment="1">
      <x:alignment vertical="center"/>
    </x:xf>
    <x:xf numFmtId="0" fontId="14" fillId="5" borderId="20" xfId="0" applyNumberFormat="1" applyFont="1" applyFill="1" applyBorder="1" applyAlignment="1">
      <x:alignment vertical="center"/>
    </x:xf>
    <x:xf numFmtId="0" fontId="14" fillId="5" borderId="21" xfId="0" applyNumberFormat="1" applyFont="1" applyFill="1" applyBorder="1" applyAlignment="1">
      <x:alignment vertical="center"/>
    </x:xf>
    <x:xf numFmtId="200" fontId="14" fillId="5" borderId="17" xfId="0" applyNumberFormat="1" applyFont="1" applyFill="1" applyBorder="1" applyAlignment="1">
      <x:alignment vertical="center"/>
    </x:xf>
    <x:xf numFmtId="200" fontId="14" fillId="5" borderId="0" xfId="0" applyNumberFormat="1" applyFont="1" applyFill="1" applyBorder="1" applyAlignment="1">
      <x:alignment vertical="center"/>
    </x:xf>
    <x:xf numFmtId="200" fontId="14" fillId="5" borderId="18" xfId="0" applyNumberFormat="1" applyFont="1" applyFill="1" applyBorder="1" applyAlignment="1">
      <x:alignment vertical="center"/>
    </x:xf>
    <x:xf numFmtId="200" fontId="14" fillId="5" borderId="19" xfId="0" applyNumberFormat="1" applyFont="1" applyFill="1" applyBorder="1" applyAlignment="1">
      <x:alignment vertical="center"/>
    </x:xf>
    <x:xf numFmtId="200" fontId="14" fillId="5" borderId="20" xfId="0" applyNumberFormat="1" applyFont="1" applyFill="1" applyBorder="1" applyAlignment="1">
      <x:alignment vertical="center"/>
    </x:xf>
    <x:xf numFmtId="200" fontId="14" fillId="5" borderId="21" xfId="0" applyNumberFormat="1" applyFont="1" applyFill="1" applyBorder="1" applyAlignment="1">
      <x:alignment vertical="center"/>
    </x:xf>
    <x:xf numFmtId="200" fontId="14" fillId="5" borderId="17" xfId="0" applyNumberFormat="1" applyFont="1" applyFill="1" applyBorder="1" applyAlignment="1">
      <x:alignment horizontal="center" vertical="center"/>
    </x:xf>
    <x:xf numFmtId="200" fontId="14" fillId="5" borderId="0" xfId="0" applyNumberFormat="1" applyFont="1" applyFill="1" applyBorder="1" applyAlignment="1">
      <x:alignment horizontal="center" vertical="center"/>
    </x:xf>
    <x:xf numFmtId="200" fontId="14" fillId="5" borderId="18" xfId="0" applyNumberFormat="1" applyFont="1" applyFill="1" applyBorder="1" applyAlignment="1">
      <x:alignment horizontal="center" vertical="center"/>
    </x:xf>
    <x:xf numFmtId="200" fontId="14" fillId="5" borderId="19" xfId="0" applyNumberFormat="1" applyFont="1" applyFill="1" applyBorder="1" applyAlignment="1">
      <x:alignment horizontal="center" vertical="center"/>
    </x:xf>
    <x:xf numFmtId="200" fontId="14" fillId="5" borderId="20" xfId="0" applyNumberFormat="1" applyFont="1" applyFill="1" applyBorder="1" applyAlignment="1">
      <x:alignment horizontal="center" vertical="center"/>
    </x:xf>
    <x:xf numFmtId="200" fontId="14" fillId="5" borderId="21" xfId="0" applyNumberFormat="1" applyFont="1" applyFill="1" applyBorder="1" applyAlignment="1">
      <x:alignment horizontal="center" vertical="center"/>
    </x:xf>
    <x:xf numFmtId="0" fontId="15" fillId="5" borderId="17" xfId="0" applyNumberFormat="1" applyFont="1" applyFill="1" applyBorder="1" applyAlignment="1">
      <x:alignment vertical="center"/>
    </x:xf>
    <x:xf numFmtId="0" fontId="15" fillId="5" borderId="0" xfId="0" applyNumberFormat="1" applyFont="1" applyFill="1" applyBorder="1" applyAlignment="1">
      <x:alignment vertical="center"/>
    </x:xf>
    <x:xf numFmtId="0" fontId="15" fillId="5" borderId="18" xfId="0" applyNumberFormat="1" applyFont="1" applyFill="1" applyBorder="1" applyAlignment="1">
      <x:alignment vertical="center"/>
    </x:xf>
    <x:xf numFmtId="0" fontId="15" fillId="5" borderId="19" xfId="0" applyNumberFormat="1" applyFont="1" applyFill="1" applyBorder="1" applyAlignment="1">
      <x:alignment vertical="center"/>
    </x:xf>
    <x:xf numFmtId="0" fontId="15" fillId="5" borderId="20" xfId="0" applyNumberFormat="1" applyFont="1" applyFill="1" applyBorder="1" applyAlignment="1">
      <x:alignment vertical="center"/>
    </x:xf>
    <x:xf numFmtId="0" fontId="15" fillId="5" borderId="21" xfId="0" applyNumberFormat="1" applyFont="1" applyFill="1" applyBorder="1" applyAlignment="1">
      <x:alignment vertical="center"/>
    </x:xf>
    <x:xf numFmtId="206" fontId="15" fillId="5" borderId="17" xfId="0" applyNumberFormat="1" applyFont="1" applyFill="1" applyBorder="1" applyAlignment="1">
      <x:alignment vertical="center"/>
    </x:xf>
    <x:xf numFmtId="206" fontId="15" fillId="5" borderId="0" xfId="0" applyNumberFormat="1" applyFont="1" applyFill="1" applyBorder="1" applyAlignment="1">
      <x:alignment vertical="center"/>
    </x:xf>
    <x:xf numFmtId="206" fontId="15" fillId="5" borderId="18" xfId="0" applyNumberFormat="1" applyFont="1" applyFill="1" applyBorder="1" applyAlignment="1">
      <x:alignment vertical="center"/>
    </x:xf>
    <x:xf numFmtId="206" fontId="15" fillId="5" borderId="19" xfId="0" applyNumberFormat="1" applyFont="1" applyFill="1" applyBorder="1" applyAlignment="1">
      <x:alignment vertical="center"/>
    </x:xf>
    <x:xf numFmtId="206" fontId="15" fillId="5" borderId="20" xfId="0" applyNumberFormat="1" applyFont="1" applyFill="1" applyBorder="1" applyAlignment="1">
      <x:alignment vertical="center"/>
    </x:xf>
    <x:xf numFmtId="206" fontId="15" fillId="5" borderId="21" xfId="0" applyNumberFormat="1" applyFont="1" applyFill="1" applyBorder="1" applyAlignment="1">
      <x:alignment vertical="center"/>
    </x:xf>
    <x:xf numFmtId="206" fontId="15" fillId="5" borderId="17" xfId="0" applyNumberFormat="1" applyFont="1" applyFill="1" applyBorder="1" applyAlignment="1">
      <x:alignment horizontal="center" vertical="center"/>
    </x:xf>
    <x:xf numFmtId="206" fontId="15" fillId="5" borderId="0" xfId="0" applyNumberFormat="1" applyFont="1" applyFill="1" applyBorder="1" applyAlignment="1">
      <x:alignment horizontal="center" vertical="center"/>
    </x:xf>
    <x:xf numFmtId="206" fontId="15" fillId="5" borderId="18" xfId="0" applyNumberFormat="1" applyFont="1" applyFill="1" applyBorder="1" applyAlignment="1">
      <x:alignment horizontal="center" vertical="center"/>
    </x:xf>
    <x:xf numFmtId="206" fontId="15" fillId="5" borderId="19" xfId="0" applyNumberFormat="1" applyFont="1" applyFill="1" applyBorder="1" applyAlignment="1">
      <x:alignment horizontal="center" vertical="center"/>
    </x:xf>
    <x:xf numFmtId="206" fontId="15" fillId="5" borderId="20" xfId="0" applyNumberFormat="1" applyFont="1" applyFill="1" applyBorder="1" applyAlignment="1">
      <x:alignment horizontal="center" vertical="center"/>
    </x:xf>
    <x:xf numFmtId="206" fontId="15" fillId="5" borderId="21" xfId="0" applyNumberFormat="1" applyFont="1" applyFill="1" applyBorder="1" applyAlignment="1">
      <x:alignment horizontal="center" vertical="center"/>
    </x:xf>
    <x:xf numFmtId="0" fontId="16" fillId="5" borderId="17" xfId="0" applyNumberFormat="1" applyFont="1" applyFill="1" applyBorder="1" applyAlignment="1">
      <x:alignment vertical="center"/>
    </x:xf>
    <x:xf numFmtId="0" fontId="16" fillId="5" borderId="18" xfId="0" applyNumberFormat="1" applyFont="1" applyFill="1" applyBorder="1" applyAlignment="1">
      <x:alignment vertical="center"/>
    </x:xf>
    <x:xf numFmtId="0" fontId="16" fillId="5" borderId="19" xfId="0" applyNumberFormat="1" applyFont="1" applyFill="1" applyBorder="1" applyAlignment="1">
      <x:alignment vertical="center"/>
    </x:xf>
    <x:xf numFmtId="0" fontId="16" fillId="5" borderId="21" xfId="0" applyNumberFormat="1" applyFont="1" applyFill="1" applyBorder="1" applyAlignment="1">
      <x:alignment vertical="center"/>
    </x:xf>
    <x:xf numFmtId="209" fontId="16" fillId="5" borderId="17" xfId="0" applyNumberFormat="1" applyFont="1" applyFill="1" applyBorder="1" applyAlignment="1">
      <x:alignment vertical="center"/>
    </x:xf>
    <x:xf numFmtId="209" fontId="16" fillId="5" borderId="18" xfId="0" applyNumberFormat="1" applyFont="1" applyFill="1" applyBorder="1" applyAlignment="1">
      <x:alignment vertical="center"/>
    </x:xf>
    <x:xf numFmtId="209" fontId="16" fillId="5" borderId="19" xfId="0" applyNumberFormat="1" applyFont="1" applyFill="1" applyBorder="1" applyAlignment="1">
      <x:alignment vertical="center"/>
    </x:xf>
    <x:xf numFmtId="209" fontId="16" fillId="5" borderId="21" xfId="0" applyNumberFormat="1" applyFont="1" applyFill="1" applyBorder="1" applyAlignment="1">
      <x:alignment vertical="center"/>
    </x:xf>
    <x:xf numFmtId="209" fontId="16" fillId="5" borderId="17" xfId="0" applyNumberFormat="1" applyFont="1" applyFill="1" applyBorder="1" applyAlignment="1">
      <x:alignment horizontal="center" vertical="center"/>
    </x:xf>
    <x:xf numFmtId="209" fontId="16" fillId="5" borderId="18" xfId="0" applyNumberFormat="1" applyFont="1" applyFill="1" applyBorder="1" applyAlignment="1">
      <x:alignment horizontal="center" vertical="center"/>
    </x:xf>
    <x:xf numFmtId="209" fontId="16" fillId="5" borderId="19" xfId="0" applyNumberFormat="1" applyFont="1" applyFill="1" applyBorder="1" applyAlignment="1">
      <x:alignment horizontal="center" vertical="center"/>
    </x:xf>
    <x:xf numFmtId="209" fontId="16" fillId="5" borderId="21" xfId="0" applyNumberFormat="1" applyFont="1" applyFill="1" applyBorder="1" applyAlignment="1">
      <x:alignment horizontal="center" vertical="center"/>
    </x:xf>
    <x:xf numFmtId="0" fontId="17" fillId="5" borderId="0" xfId="0" applyNumberFormat="1" applyFont="1" applyFill="1" applyBorder="1"/>
    <x:xf numFmtId="0" fontId="17" fillId="5" borderId="7" xfId="0" applyNumberFormat="1" applyFont="1" applyFill="1" applyBorder="1"/>
    <x:xf numFmtId="0" fontId="17" fillId="5" borderId="6" xfId="0" applyNumberFormat="1" applyFont="1" applyFill="1" applyBorder="1"/>
    <x:xf numFmtId="0" fontId="17" fillId="5" borderId="8" xfId="0" applyNumberFormat="1" applyFont="1" applyFill="1" applyBorder="1"/>
    <x:xf numFmtId="0" fontId="17" fillId="5" borderId="3" xfId="0" applyNumberFormat="1" applyFont="1" applyFill="1" applyBorder="1"/>
    <x:xf numFmtId="0" fontId="17" fillId="5" borderId="1" xfId="0" applyNumberFormat="1" applyFont="1" applyFill="1" applyBorder="1"/>
    <x:xf numFmtId="0" fontId="17" fillId="5" borderId="9" xfId="0" applyNumberFormat="1" applyFont="1" applyFill="1" applyBorder="1"/>
    <x:xf numFmtId="0" fontId="17" fillId="5" borderId="4" xfId="0" applyNumberFormat="1" applyFont="1" applyFill="1" applyBorder="1"/>
    <x:xf numFmtId="0" fontId="17" fillId="5" borderId="10" xfId="0" applyNumberFormat="1" applyFont="1" applyFill="1" applyBorder="1"/>
    <x:xf numFmtId="0" fontId="17" fillId="5" borderId="7" xfId="0" applyNumberFormat="1" applyFont="1" applyFill="1" applyBorder="1" applyAlignment="1">
      <x:alignment wrapText="1"/>
    </x:xf>
    <x:xf numFmtId="0" fontId="17" fillId="5" borderId="6" xfId="0" applyNumberFormat="1" applyFont="1" applyFill="1" applyBorder="1" applyAlignment="1">
      <x:alignment wrapText="1"/>
    </x:xf>
    <x:xf numFmtId="0" fontId="17" fillId="5" borderId="8" xfId="0" applyNumberFormat="1" applyFont="1" applyFill="1" applyBorder="1" applyAlignment="1">
      <x:alignment wrapText="1"/>
    </x:xf>
    <x:xf numFmtId="0" fontId="17" fillId="5" borderId="3" xfId="0" applyNumberFormat="1" applyFont="1" applyFill="1" applyBorder="1" applyAlignment="1">
      <x:alignment wrapText="1"/>
    </x:xf>
    <x:xf numFmtId="0" fontId="17" fillId="5" borderId="0" xfId="0" applyNumberFormat="1" applyFont="1" applyFill="1" applyBorder="1" applyAlignment="1">
      <x:alignment wrapText="1"/>
    </x:xf>
    <x:xf numFmtId="0" fontId="17" fillId="5" borderId="1" xfId="0" applyNumberFormat="1" applyFont="1" applyFill="1" applyBorder="1" applyAlignment="1">
      <x:alignment wrapText="1"/>
    </x:xf>
    <x:xf numFmtId="0" fontId="17" fillId="5" borderId="9" xfId="0" applyNumberFormat="1" applyFont="1" applyFill="1" applyBorder="1" applyAlignment="1">
      <x:alignment wrapText="1"/>
    </x:xf>
    <x:xf numFmtId="0" fontId="17" fillId="5" borderId="4" xfId="0" applyNumberFormat="1" applyFont="1" applyFill="1" applyBorder="1" applyAlignment="1">
      <x:alignment wrapText="1"/>
    </x:xf>
    <x:xf numFmtId="0" fontId="17" fillId="5" borderId="10" xfId="0" applyNumberFormat="1" applyFont="1" applyFill="1" applyBorder="1" applyAlignment="1">
      <x:alignment wrapText="1"/>
    </x:xf>
    <x:xf numFmtId="0" fontId="17" fillId="5" borderId="7"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8"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 xfId="0" applyNumberFormat="1" applyFont="1" applyFill="1" applyBorder="1" applyAlignment="1">
      <x:alignment vertical="top" wrapText="1"/>
    </x:xf>
    <x:xf numFmtId="0" fontId="17" fillId="5" borderId="9"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0" xfId="0" applyNumberFormat="1" applyFont="1" applyFill="1" applyBorder="1" applyAlignment="1">
      <x:alignment vertical="top" wrapText="1"/>
    </x:xf>
    <x:xf numFmtId="0" fontId="18" fillId="2" borderId="0" xfId="0" applyNumberFormat="1" applyFont="1" applyFill="1" applyBorder="1"/>
    <x:xf numFmtId="0" fontId="18" fillId="2" borderId="14" xfId="0" applyNumberFormat="1" applyFont="1" applyFill="1" applyBorder="1"/>
    <x:xf numFmtId="0" fontId="18" fillId="2" borderId="15" xfId="0" applyNumberFormat="1" applyFont="1" applyFill="1" applyBorder="1"/>
    <x:xf numFmtId="0" fontId="18" fillId="2" borderId="16" xfId="0" applyNumberFormat="1" applyFont="1" applyFill="1" applyBorder="1"/>
    <x:xf numFmtId="0" fontId="18" fillId="2" borderId="17" xfId="0" applyNumberFormat="1" applyFont="1" applyFill="1" applyBorder="1"/>
    <x:xf numFmtId="0" fontId="18" fillId="2" borderId="18" xfId="0" applyNumberFormat="1" applyFont="1" applyFill="1" applyBorder="1"/>
    <x:xf numFmtId="0" fontId="18" fillId="2" borderId="19" xfId="0" applyNumberFormat="1" applyFont="1" applyFill="1" applyBorder="1"/>
    <x:xf numFmtId="0" fontId="18" fillId="2" borderId="20" xfId="0" applyNumberFormat="1" applyFont="1" applyFill="1" applyBorder="1"/>
    <x:xf numFmtId="0" fontId="18" fillId="2" borderId="21" xfId="0" applyNumberFormat="1" applyFont="1" applyFill="1" applyBorder="1"/>
    <x:xf numFmtId="0" fontId="18" fillId="2" borderId="14" xfId="0" applyNumberFormat="1" applyFont="1" applyFill="1" applyBorder="1" applyAlignment="1">
      <x:alignment wrapText="1"/>
    </x:xf>
    <x:xf numFmtId="0" fontId="18" fillId="2" borderId="15" xfId="0" applyNumberFormat="1" applyFont="1" applyFill="1" applyBorder="1" applyAlignment="1">
      <x:alignment wrapText="1"/>
    </x:xf>
    <x:xf numFmtId="0" fontId="18" fillId="2" borderId="16" xfId="0" applyNumberFormat="1" applyFont="1" applyFill="1" applyBorder="1" applyAlignment="1">
      <x:alignment wrapText="1"/>
    </x:xf>
    <x:xf numFmtId="0" fontId="18" fillId="2" borderId="17" xfId="0" applyNumberFormat="1" applyFont="1" applyFill="1" applyBorder="1" applyAlignment="1">
      <x:alignment wrapText="1"/>
    </x:xf>
    <x:xf numFmtId="0" fontId="18" fillId="2" borderId="0" xfId="0" applyNumberFormat="1" applyFont="1" applyFill="1" applyBorder="1" applyAlignment="1">
      <x:alignment wrapText="1"/>
    </x:xf>
    <x:xf numFmtId="0" fontId="18" fillId="2" borderId="18" xfId="0" applyNumberFormat="1" applyFont="1" applyFill="1" applyBorder="1" applyAlignment="1">
      <x:alignment wrapText="1"/>
    </x:xf>
    <x:xf numFmtId="0" fontId="18" fillId="2" borderId="19" xfId="0" applyNumberFormat="1" applyFont="1" applyFill="1" applyBorder="1" applyAlignment="1">
      <x:alignment wrapText="1"/>
    </x:xf>
    <x:xf numFmtId="0" fontId="18" fillId="2" borderId="20" xfId="0" applyNumberFormat="1" applyFont="1" applyFill="1" applyBorder="1" applyAlignment="1">
      <x:alignment wrapText="1"/>
    </x:xf>
    <x:xf numFmtId="0" fontId="18" fillId="2" borderId="21" xfId="0" applyNumberFormat="1" applyFont="1" applyFill="1" applyBorder="1" applyAlignment="1">
      <x:alignment wrapText="1"/>
    </x:xf>
    <x:xf numFmtId="0" fontId="18" fillId="2" borderId="14" xfId="0" applyNumberFormat="1" applyFont="1" applyFill="1" applyBorder="1" applyAlignment="1">
      <x:alignment vertical="top" wrapText="1"/>
    </x:xf>
    <x:xf numFmtId="0" fontId="18" fillId="2" borderId="15" xfId="0" applyNumberFormat="1" applyFont="1" applyFill="1" applyBorder="1" applyAlignment="1">
      <x:alignment vertical="top" wrapText="1"/>
    </x:xf>
    <x:xf numFmtId="0" fontId="18" fillId="2" borderId="16" xfId="0" applyNumberFormat="1" applyFont="1" applyFill="1" applyBorder="1" applyAlignment="1">
      <x:alignment vertical="top" wrapText="1"/>
    </x:xf>
    <x:xf numFmtId="0" fontId="18" fillId="2" borderId="17" xfId="0" applyNumberFormat="1" applyFont="1" applyFill="1" applyBorder="1" applyAlignment="1">
      <x:alignment vertical="top" wrapText="1"/>
    </x:xf>
    <x:xf numFmtId="0" fontId="18" fillId="2" borderId="0" xfId="0" applyNumberFormat="1" applyFont="1" applyFill="1" applyBorder="1" applyAlignment="1">
      <x:alignment vertical="top" wrapText="1"/>
    </x:xf>
    <x:xf numFmtId="0" fontId="18" fillId="2" borderId="18" xfId="0" applyNumberFormat="1" applyFont="1" applyFill="1" applyBorder="1" applyAlignment="1">
      <x:alignment vertical="top" wrapText="1"/>
    </x:xf>
    <x:xf numFmtId="0" fontId="18" fillId="2" borderId="19" xfId="0" applyNumberFormat="1" applyFont="1" applyFill="1" applyBorder="1" applyAlignment="1">
      <x:alignment vertical="top" wrapText="1"/>
    </x:xf>
    <x:xf numFmtId="0" fontId="18" fillId="2" borderId="20" xfId="0" applyNumberFormat="1" applyFont="1" applyFill="1" applyBorder="1" applyAlignment="1">
      <x:alignment vertical="top" wrapText="1"/>
    </x:xf>
    <x:xf numFmtId="0" fontId="18" fillId="2" borderId="21" xfId="0" applyNumberFormat="1" applyFont="1" applyFill="1" applyBorder="1" applyAlignment="1">
      <x:alignment vertical="top" wrapText="1"/>
    </x:xf>
    <x:xf numFmtId="0" fontId="2" fillId="9" borderId="0" xfId="0" applyNumberFormat="1" applyFont="1" applyFill="1" applyBorder="1" applyAlignment="1">
      <x:alignment vertical="center"/>
    </x:xf>
    <x:xf numFmtId="0" fontId="19" fillId="9" borderId="0" xfId="0" applyNumberFormat="1" applyFont="1" applyFill="1" applyBorder="1" applyAlignment="1">
      <x:alignment vertical="center"/>
    </x:xf>
    <x:xf numFmtId="0" fontId="19" fillId="9" borderId="11" xfId="0" applyNumberFormat="1" applyFont="1" applyFill="1" applyBorder="1" applyAlignment="1">
      <x:alignment vertical="center"/>
    </x:xf>
    <x:xf numFmtId="0" fontId="19" fillId="9" borderId="12" xfId="0" applyNumberFormat="1" applyFont="1" applyFill="1" applyBorder="1" applyAlignment="1">
      <x:alignment vertical="center"/>
    </x:xf>
    <x:xf numFmtId="0" fontId="19" fillId="9" borderId="13" xfId="0" applyNumberFormat="1" applyFont="1" applyFill="1" applyBorder="1" applyAlignment="1">
      <x:alignment vertical="center"/>
    </x:xf>
    <x:xf numFmtId="0" fontId="19" fillId="9" borderId="11" xfId="0" applyNumberFormat="1" applyFont="1" applyFill="1" applyBorder="1" applyAlignment="1">
      <x:alignment horizontal="center" vertical="center"/>
    </x:xf>
    <x:xf numFmtId="0" fontId="19" fillId="9" borderId="12" xfId="0" applyNumberFormat="1" applyFont="1" applyFill="1" applyBorder="1" applyAlignment="1">
      <x:alignment horizontal="center" vertical="center"/>
    </x:xf>
    <x:xf numFmtId="0" fontId="19" fillId="9" borderId="13" xfId="0" applyNumberFormat="1" applyFont="1" applyFill="1" applyBorder="1" applyAlignment="1">
      <x:alignment horizontal="center" vertical="center"/>
    </x:xf>
    <x:xf numFmtId="0" fontId="4" fillId="5" borderId="4" xfId="0" applyNumberFormat="1" applyFont="1" applyFill="1" applyBorder="1" applyAlignment="1">
      <x:alignment vertical="center" wrapText="1"/>
    </x:xf>
    <x:xf numFmtId="0" fontId="4" fillId="5" borderId="5" xfId="0" applyNumberFormat="1" applyFont="1" applyFill="1" applyBorder="1" applyAlignment="1">
      <x:alignment vertical="center" wrapText="1"/>
    </x:xf>
    <x:xf numFmtId="0" fontId="4" fillId="5" borderId="6" xfId="0" applyNumberFormat="1" applyFont="1" applyFill="1" applyBorder="1" applyAlignment="1">
      <x:alignment vertical="center" wrapText="1"/>
    </x:xf>
    <x:xf numFmtId="0" fontId="20" fillId="0" borderId="0" xfId="0" applyNumberFormat="1" applyFont="1" applyFill="1" applyBorder="1"/>
    <x:xf numFmtId="0" fontId="20" fillId="0" borderId="0" xfId="0" applyNumberFormat="1" applyFont="1" applyFill="1" applyBorder="1" applyAlignment="1">
      <x:alignment wrapText="1"/>
    </x:xf>
    <x:xf numFmtId="0" fontId="20" fillId="0" borderId="0" xfId="0" applyNumberFormat="1" applyFont="1" applyFill="1" applyBorder="1" applyAlignment="1">
      <x:alignment vertical="center" wrapText="1"/>
    </x:xf>
    <x:xf numFmtId="0" fontId="9" fillId="5" borderId="0" xfId="0" applyNumberFormat="1" applyFont="1" applyFill="1" applyBorder="1"/>
    <x:xf numFmtId="0" fontId="9" fillId="5" borderId="22" xfId="0" applyNumberFormat="1" applyFont="1" applyFill="1" applyBorder="1"/>
    <x:xf numFmtId="0" fontId="9" fillId="5" borderId="22" xfId="0" applyNumberFormat="1" applyFont="1" applyFill="1" applyBorder="1" applyAlignment="1">
      <x:alignment wrapText="1"/>
    </x:xf>
    <x:xf numFmtId="0" fontId="9" fillId="5" borderId="22" xfId="0" applyNumberFormat="1" applyFont="1" applyFill="1" applyBorder="1" applyAlignment="1">
      <x:alignment horizontal="center" wrapText="1"/>
    </x:xf>
    <x:xf numFmtId="0" fontId="9" fillId="5" borderId="22" xfId="0" applyNumberFormat="1" applyFont="1" applyFill="1" applyBorder="1" applyAlignment="1">
      <x:alignment horizontal="center" vertical="center" wrapText="1"/>
    </x:xf>
    <x:xf numFmtId="0" fontId="9" fillId="7" borderId="22" xfId="0" applyNumberFormat="1" applyFont="1" applyFill="1" applyBorder="1" applyAlignment="1">
      <x:alignment horizontal="center" vertical="center" wrapText="1"/>
    </x:xf>
    <x:xf numFmtId="0" fontId="21" fillId="0" borderId="0" xfId="0" applyNumberFormat="1" applyFont="1" applyFill="1" applyBorder="1"/>
    <x:xf numFmtId="0" fontId="8" fillId="3" borderId="0" xfId="0" applyNumberFormat="1" applyFont="1" applyFill="1" applyBorder="1"/>
    <x:xf numFmtId="0" fontId="8" fillId="3" borderId="7" xfId="0" applyNumberFormat="1" applyFont="1" applyFill="1" applyBorder="1"/>
    <x:xf numFmtId="0" fontId="8" fillId="3" borderId="6" xfId="0" applyNumberFormat="1" applyFont="1" applyFill="1" applyBorder="1"/>
    <x:xf numFmtId="0" fontId="8" fillId="3" borderId="8" xfId="0" applyNumberFormat="1" applyFont="1" applyFill="1" applyBorder="1"/>
    <x:xf numFmtId="0" fontId="8" fillId="3" borderId="3" xfId="0" applyNumberFormat="1" applyFont="1" applyFill="1" applyBorder="1"/>
    <x:xf numFmtId="0" fontId="8" fillId="3" borderId="1" xfId="0" applyNumberFormat="1" applyFont="1" applyFill="1" applyBorder="1"/>
    <x:xf numFmtId="0" fontId="8" fillId="3" borderId="9" xfId="0" applyNumberFormat="1" applyFont="1" applyFill="1" applyBorder="1"/>
    <x:xf numFmtId="0" fontId="8" fillId="3" borderId="4" xfId="0" applyNumberFormat="1" applyFont="1" applyFill="1" applyBorder="1"/>
    <x:xf numFmtId="0" fontId="8" fillId="3" borderId="10" xfId="0" applyNumberFormat="1" applyFont="1" applyFill="1" applyBorder="1"/>
    <x:xf numFmtId="0" fontId="8" fillId="3" borderId="7" xfId="0" applyNumberFormat="1" applyFont="1" applyFill="1" applyBorder="1" applyAlignment="1">
      <x:alignment wrapText="1"/>
    </x:xf>
    <x:xf numFmtId="0" fontId="8" fillId="3" borderId="6" xfId="0" applyNumberFormat="1" applyFont="1" applyFill="1" applyBorder="1" applyAlignment="1">
      <x:alignment wrapText="1"/>
    </x:xf>
    <x:xf numFmtId="0" fontId="8" fillId="3" borderId="8" xfId="0" applyNumberFormat="1" applyFont="1" applyFill="1" applyBorder="1" applyAlignment="1">
      <x:alignment wrapText="1"/>
    </x:xf>
    <x:xf numFmtId="0" fontId="8" fillId="3" borderId="3" xfId="0" applyNumberFormat="1" applyFont="1" applyFill="1" applyBorder="1" applyAlignment="1">
      <x:alignment wrapText="1"/>
    </x:xf>
    <x:xf numFmtId="0" fontId="8" fillId="3" borderId="0" xfId="0" applyNumberFormat="1" applyFont="1" applyFill="1" applyBorder="1" applyAlignment="1">
      <x:alignment wrapText="1"/>
    </x:xf>
    <x:xf numFmtId="0" fontId="8" fillId="3" borderId="1" xfId="0" applyNumberFormat="1" applyFont="1" applyFill="1" applyBorder="1" applyAlignment="1">
      <x:alignment wrapText="1"/>
    </x:xf>
    <x:xf numFmtId="0" fontId="8" fillId="3" borderId="9" xfId="0" applyNumberFormat="1" applyFont="1" applyFill="1" applyBorder="1" applyAlignment="1">
      <x:alignment wrapText="1"/>
    </x:xf>
    <x:xf numFmtId="0" fontId="8" fillId="3" borderId="4" xfId="0" applyNumberFormat="1" applyFont="1" applyFill="1" applyBorder="1" applyAlignment="1">
      <x:alignment wrapText="1"/>
    </x:xf>
    <x:xf numFmtId="0" fontId="8" fillId="3" borderId="10" xfId="0" applyNumberFormat="1" applyFont="1" applyFill="1" applyBorder="1" applyAlignment="1">
      <x:alignment wrapText="1"/>
    </x:xf>
    <x:xf numFmtId="0" fontId="8" fillId="3" borderId="7" xfId="0" applyNumberFormat="1" applyFont="1" applyFill="1" applyBorder="1" applyAlignment="1">
      <x:alignment vertical="top" wrapText="1"/>
    </x:xf>
    <x:xf numFmtId="0" fontId="8" fillId="3" borderId="6" xfId="0" applyNumberFormat="1" applyFont="1" applyFill="1" applyBorder="1" applyAlignment="1">
      <x:alignment vertical="top" wrapText="1"/>
    </x:xf>
    <x:xf numFmtId="0" fontId="8" fillId="3" borderId="8" xfId="0" applyNumberFormat="1" applyFont="1" applyFill="1" applyBorder="1" applyAlignment="1">
      <x:alignment vertical="top" wrapText="1"/>
    </x:xf>
    <x:xf numFmtId="0" fontId="8" fillId="3" borderId="3"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8" fillId="3" borderId="1" xfId="0" applyNumberFormat="1" applyFont="1" applyFill="1" applyBorder="1" applyAlignment="1">
      <x:alignment vertical="top" wrapText="1"/>
    </x:xf>
    <x:xf numFmtId="0" fontId="8" fillId="3" borderId="9" xfId="0" applyNumberFormat="1" applyFont="1" applyFill="1" applyBorder="1" applyAlignment="1">
      <x:alignment vertical="top" wrapText="1"/>
    </x:xf>
    <x:xf numFmtId="0" fontId="8" fillId="3" borderId="4" xfId="0" applyNumberFormat="1" applyFont="1" applyFill="1" applyBorder="1" applyAlignment="1">
      <x:alignment vertical="top" wrapText="1"/>
    </x:xf>
    <x:xf numFmtId="0" fontId="8" fillId="3" borderId="10" xfId="0" applyNumberFormat="1" applyFont="1" applyFill="1" applyBorder="1" applyAlignment="1">
      <x:alignment vertical="top" wrapText="1"/>
    </x:xf>
  </x:cellXfs>
  <x:cellStyles count="1">
    <x:cellStyle name="Normal" xfId="0"/>
  </x:cellStyles>
  <x:dxfs count="2">
    <x:dxf>
      <x:font>
        <x:b/>
        <x:color rgb="FF12836D"/>
      </x:font>
      <x:fill>
        <x:patternFill>
          <x:bgColor rgb="FFEAF7F2"/>
        </x:patternFill>
      </x:fill>
    </x:dxf>
    <x:dxf>
      <x:font>
        <x:b/>
        <x:color rgb="FFD92D20"/>
      </x:font>
      <x:fill>
        <x:patternFill>
          <x:bgColor rgb="FFFFF0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9a5296c2974a0c" /><Relationship Type="http://schemas.openxmlformats.org/officeDocument/2006/relationships/theme" Target="/xl/theme/theme1.xml" Id="Rb5c49ef3f5254f02" /><Relationship Type="http://schemas.openxmlformats.org/officeDocument/2006/relationships/sharedStrings" Target="/xl/sharedStrings.xml" Id="R1d3139dce6ca44f5" /><Relationship Type="http://schemas.openxmlformats.org/officeDocument/2006/relationships/worksheet" Target="/xl/worksheets/sheet1.xml" Id="R8379acf7ae9147c3" /><Relationship Type="http://schemas.openxmlformats.org/officeDocument/2006/relationships/worksheet" Target="/xl/worksheets/sheet2.xml" Id="Ra9c85066fd83460f" /><Relationship Type="http://schemas.openxmlformats.org/officeDocument/2006/relationships/worksheet" Target="/xl/worksheets/sheet3.xml" Id="R978eb0abf988429e" /><Relationship Type="http://schemas.openxmlformats.org/officeDocument/2006/relationships/worksheet" Target="/xl/worksheets/sheet4.xml" Id="Rf726720e23834f2a" /><Relationship Type="http://schemas.openxmlformats.org/officeDocument/2006/relationships/worksheet" Target="/xl/worksheets/sheet5.xml" Id="R2d0561660d3945ac" /><Relationship Type="http://schemas.openxmlformats.org/officeDocument/2006/relationships/worksheet" Target="/xl/worksheets/sheet6.xml" Id="R262a08891a574533" /><Relationship Type="http://schemas.openxmlformats.org/officeDocument/2006/relationships/worksheet" Target="/xl/worksheets/sheet7.xml" Id="R6f2ef09842e44a35" /><Relationship Type="http://schemas.openxmlformats.org/officeDocument/2006/relationships/worksheet" Target="/xl/worksheets/sheet8.xml" Id="R037df315aad44f28" /><Relationship Type="http://schemas.openxmlformats.org/officeDocument/2006/relationships/worksheet" Target="/xl/worksheets/sheet9.xml" Id="R0f8ae1e12faa4577" /><Relationship Type="http://schemas.openxmlformats.org/officeDocument/2006/relationships/worksheet" Target="/xl/worksheets/sheet10.xml" Id="R937a41e43df346b2" /><Relationship Type="http://schemas.openxmlformats.org/officeDocument/2006/relationships/worksheet" Target="/xl/worksheets/sheet11.xml" Id="R164760d8f2bd4558" /><Relationship Type="http://schemas.openxmlformats.org/officeDocument/2006/relationships/worksheet" Target="/xl/worksheets/sheet12.xml" Id="Rb06edacb514a43d9" /><Relationship Type="http://schemas.microsoft.com/office/2017/10/relationships/person" Target="/xl/persons/person.xml" Id="R8b781daf3cc1440d"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959308205e4e0a" /></Relationships>
</file>

<file path=xl/drawings/_rels/drawing2.xml.rels>&#65279;<?xml version="1.0" encoding="utf-8"?><Relationships xmlns="http://schemas.openxmlformats.org/package/2006/relationships"><Relationship Type="http://schemas.openxmlformats.org/officeDocument/2006/relationships/chart" Target="/xl/drawings/charts/chart2.xml" Id="Rbedb1f084d894b0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Cumulative cash flow and payback ($)</a:t>
            </a:r>
          </a:p>
        </c:rich>
      </c:tx>
      <c:overlay val="0"/>
    </c:title>
    <c:plotArea>
      <c:lineChart>
        <c:grouping val="standard"/>
        <c:varyColors val="0"/>
        <c:ser>
          <c:idx val="0"/>
          <c:order val="0"/>
          <c:tx>
            <c:v>Cumulative cash flow</c:v>
          </c:tx>
          <c:marker>
            <c:symbol val="none"/>
          </c:marker>
          <c:cat>
            <c:strRef>
              <c:f>'Returns'!$E$15:$E$23</c:f>
              <c:strCache>
                <c:ptCount val="0"/>
              </c:strCache>
            </c:strRef>
          </c:cat>
          <c:val>
            <c:numRef>
              <c:f>'Returns'!$F$15:$F$23</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Cumulative cash flow and payback ($)</a:t>
            </a:r>
          </a:p>
        </c:rich>
      </c:tx>
      <c:overlay val="0"/>
    </c:title>
    <c:plotArea>
      <c:lineChart>
        <c:grouping val="standard"/>
        <c:varyColors val="0"/>
        <c:ser>
          <c:idx val="0"/>
          <c:order val="0"/>
          <c:tx>
            <c:v>Cumulative cash flow</c:v>
          </c:tx>
          <c:marker>
            <c:symbol val="none"/>
          </c:marker>
          <c:cat>
            <c:strRef>
              <c:f>'IC_Pack'!$A$33:$A$41</c:f>
              <c:strCache>
                <c:ptCount val="0"/>
              </c:strCache>
            </c:strRef>
          </c:cat>
          <c:val>
            <c:numRef>
              <c:f>'IC_Pack'!$B$33:$B$41</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15</xdr:row>
      <xdr:rowOff>0</xdr:rowOff>
    </xdr:from>
    <xdr:to>
      <xdr:col>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959308205e4e0a"/>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31</xdr:row>
      <xdr:rowOff>0</xdr:rowOff>
    </xdr:from>
    <xdr:to>
      <xdr:col>14</xdr:col>
      <xdr:colOff>0</xdr:colOff>
      <xdr:row>45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db1f084d894b06"/>
        </a:graphicData>
      </a:graphic>
    </xdr:graphicFrame>
    <xdr:clientData/>
  </xdr:twoCellAnchor>
</xdr:wsDr>
</file>

<file path=xl/persons/person.xml><?xml version="1.0" encoding="utf-8"?>
<xltc:personList xmlns:xltc="http://schemas.microsoft.com/office/spreadsheetml/2018/threadedcomments">
  <xltc:person displayName="Nguyen Tuan Khoi" id="{51E13289-278B-4E93-8113-74D5D534AD82}"/>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11" dT="2026-08-23T13:16:56.529" personId="{51E13289-278B-4E93-8113-74D5D534AD82}" id="{7A9D4BB3-59B9-567F-9C0D-E73CBA9B2EB3}">
    <xltc:text>Assumption: illustrative discount rate for synthetic IC case | Owner: Finance | Date: 2026-08-23</xltc:text>
  </xltc:threadedComment>
  <xltc:threadedComment ref="B12" dT="2026-08-23T13:16:56.53" personId="{51E13289-278B-4E93-8113-74D5D534AD82}" id="{D7BCDAE3-8A4E-EC4C-8565-BB1C135AB96A}">
    <xltc:text>Policy assumption: minimum IRR hurdle for project approval | Owner: Investment Committee</xltc:text>
  </xltc:threadedComment>
  <xltc:threadedComment ref="B14" dT="2026-08-23T13:16:56.531" personId="{51E13289-278B-4E93-8113-74D5D534AD82}" id="{024ED2DA-F9CB-2985-5546-7F996CEA60C3}">
    <xltc:text>Governance assumption: maximum installed-cost approval ceiling before re-submission</xltc:text>
  </xltc:threadedComment>
  <xltc:threadedComment ref="B25" dT="2026-08-23T13:16:56.531" personId="{51E13289-278B-4E93-8113-74D5D534AD82}" id="{C3A108BA-A2DD-C44C-5112-0976B0F3A83D}">
    <xltc:text>Design assumption: contingency held centrally against pre-go-live scope</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cb48c5cfa36e49ce" /><Relationship Type="http://schemas.openxmlformats.org/officeDocument/2006/relationships/vmlDrawing" Target="/xl/drawings/vmldrawing.vml" Id="R4baff38859854dc6" /><Relationship Type="http://schemas.microsoft.com/office/2017/10/relationships/threadedComment" Target="/xl/threadedcomments/threadedcomment.xml" Id="R5bd87077b33d46da" /></Relationships>
</file>

<file path=xl/worksheets/_rels/sheet7.xml.rels>&#65279;<?xml version="1.0" encoding="utf-8"?><Relationships xmlns="http://schemas.openxmlformats.org/package/2006/relationships"><Relationship Type="http://schemas.openxmlformats.org/officeDocument/2006/relationships/drawing" Target="/xl/drawings/drawing1.xml" Id="R4e5b2544579245bb" /></Relationships>
</file>

<file path=xl/worksheets/_rels/sheet10.xml.rels>&#65279;<?xml version="1.0" encoding="utf-8"?><Relationships xmlns="http://schemas.openxmlformats.org/package/2006/relationships"><Relationship Type="http://schemas.openxmlformats.org/officeDocument/2006/relationships/drawing" Target="/xl/drawings/drawing2.xml" Id="R9bd0c349e47642df"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x:c r="A1" s="3" t="str">
        <x:v>ORION FULFILLMENT</x:v>
      </x:c>
      <x:c r="B1" s="3"/>
      <x:c r="C1" s="3"/>
      <x:c r="D1" s="3"/>
      <x:c r="E1" s="3"/>
      <x:c r="F1" s="3"/>
      <x:c r="G1" s="3"/>
      <x:c r="H1" s="3"/>
      <x:c r="I1" s="3"/>
      <x:c r="J1" s="3"/>
      <x:c r="K1" s="3"/>
      <x:c r="L1" s="3"/>
      <x:c r="M1" s="3"/>
      <x:c r="N1" s="3"/>
    </x:row>
    <x:row r="2">
      <x:c r="A2" s="3"/>
      <x:c r="B2" s="3"/>
      <x:c r="C2" s="3"/>
      <x:c r="D2" s="3"/>
      <x:c r="E2" s="3"/>
      <x:c r="F2" s="3"/>
      <x:c r="G2" s="3"/>
      <x:c r="H2" s="3"/>
      <x:c r="I2" s="3"/>
      <x:c r="J2" s="3"/>
      <x:c r="K2" s="3"/>
      <x:c r="L2" s="3"/>
      <x:c r="M2" s="3"/>
      <x:c r="N2" s="3"/>
    </x:row>
    <x:row r="3">
      <x:c r="A3" s="6" t="str">
        <x:v>CAPEX business case &amp; Investment Committee pack · Synthetic portfolio case</x:v>
      </x:c>
      <x:c r="B3" s="6"/>
      <x:c r="C3" s="6"/>
      <x:c r="D3" s="6"/>
      <x:c r="E3" s="6"/>
      <x:c r="F3" s="6"/>
      <x:c r="G3" s="6"/>
      <x:c r="H3" s="6"/>
      <x:c r="I3" s="6"/>
      <x:c r="J3" s="6"/>
      <x:c r="K3" s="6"/>
      <x:c r="L3" s="6"/>
      <x:c r="M3" s="6"/>
      <x:c r="N3" s="6"/>
    </x:row>
    <x:row r="5">
      <x:c r="A5" s="305" t="str">
        <x:v>Should the committee approve an automated sortation line now—and which conditions protect capital if cost or benefit delivery slips?</x:v>
      </x:c>
      <x:c r="B5" s="305"/>
      <x:c r="C5" s="305"/>
      <x:c r="D5" s="305"/>
      <x:c r="E5" s="305"/>
      <x:c r="F5" s="305"/>
      <x:c r="G5" s="305"/>
      <x:c r="H5" s="305"/>
      <x:c r="I5" s="305"/>
      <x:c r="J5" s="305"/>
      <x:c r="K5" s="305"/>
      <x:c r="L5" s="305"/>
      <x:c r="M5" s="305"/>
      <x:c r="N5" s="305"/>
    </x:row>
    <x:row r="6">
      <x:c r="A6" s="305"/>
      <x:c r="B6" s="305"/>
      <x:c r="C6" s="305"/>
      <x:c r="D6" s="305"/>
      <x:c r="E6" s="305"/>
      <x:c r="F6" s="305"/>
      <x:c r="G6" s="305"/>
      <x:c r="H6" s="305"/>
      <x:c r="I6" s="305"/>
      <x:c r="J6" s="305"/>
      <x:c r="K6" s="305"/>
      <x:c r="L6" s="305"/>
      <x:c r="M6" s="305"/>
      <x:c r="N6" s="305"/>
    </x:row>
    <x:row r="8">
      <x:c r="A8" s="169" t="str">
        <x:v>BASE NPV</x:v>
      </x:c>
      <x:c r="B8" s="170"/>
      <x:c r="C8" s="171"/>
      <x:c r="E8" s="169" t="str">
        <x:v>BASE IRR</x:v>
      </x:c>
      <x:c r="F8" s="170"/>
      <x:c r="G8" s="171"/>
      <x:c r="I8" s="169" t="str">
        <x:v>PAYBACK</x:v>
      </x:c>
      <x:c r="J8" s="170"/>
      <x:c r="K8" s="171"/>
      <x:c r="M8" s="169" t="str">
        <x:v>MODEL STATUS</x:v>
      </x:c>
      <x:c r="N8" s="171"/>
    </x:row>
    <x:row r="9">
      <x:c r="A9" s="184" t="n">
        <x:f>'Returns'!B8</x:f>
        <x:v>2866688.2417097893</x:v>
      </x:c>
      <x:c r="B9" s="185"/>
      <x:c r="C9" s="186"/>
      <x:c r="E9" s="202" t="n">
        <x:f>'Returns'!B9</x:f>
        <x:v>0.20532275771146952</x:v>
      </x:c>
      <x:c r="F9" s="203"/>
      <x:c r="G9" s="204"/>
      <x:c r="I9" s="220" t="n">
        <x:f>'Returns'!B10</x:f>
        <x:v>4.891622173306241</x:v>
      </x:c>
      <x:c r="J9" s="221"/>
      <x:c r="K9" s="222"/>
      <x:c r="M9" s="234" t="str">
        <x:f>IF(ISNUMBER(SEARCH("MODEL STATUS: PASS",'Checks'!A3)),"PASS","FAIL")</x:f>
        <x:v>PASS</x:v>
      </x:c>
      <x:c r="N9" s="235"/>
    </x:row>
    <x:row r="10">
      <x:c r="A10" s="184"/>
      <x:c r="B10" s="185"/>
      <x:c r="C10" s="186"/>
      <x:c r="E10" s="202"/>
      <x:c r="F10" s="203"/>
      <x:c r="G10" s="204"/>
      <x:c r="I10" s="220"/>
      <x:c r="J10" s="221"/>
      <x:c r="K10" s="222"/>
      <x:c r="M10" s="234"/>
      <x:c r="N10" s="235"/>
    </x:row>
    <x:row r="11">
      <x:c r="A11" s="187"/>
      <x:c r="B11" s="188"/>
      <x:c r="C11" s="189"/>
      <x:c r="E11" s="205"/>
      <x:c r="F11" s="206"/>
      <x:c r="G11" s="207"/>
      <x:c r="I11" s="223"/>
      <x:c r="J11" s="224"/>
      <x:c r="K11" s="225"/>
      <x:c r="M11" s="236"/>
      <x:c r="N11" s="237"/>
    </x:row>
    <x:row r="14">
      <x:c r="A14" s="39" t="str">
        <x:v>MODEL FLOW</x:v>
      </x:c>
      <x:c r="B14" s="39"/>
      <x:c r="C14" s="39"/>
      <x:c r="D14" s="39"/>
      <x:c r="E14" s="39"/>
      <x:c r="F14" s="39"/>
      <x:c r="G14" s="39"/>
      <x:c r="H14" s="39"/>
      <x:c r="I14" s="39"/>
      <x:c r="J14" s="39"/>
      <x:c r="K14" s="39"/>
      <x:c r="L14" s="39"/>
      <x:c r="M14" s="39"/>
      <x:c r="N14" s="39"/>
    </x:row>
    <x:row r="16">
      <x:c r="A16" s="311" t="str">
        <x:v>Inputs</x:v>
      </x:c>
      <x:c r="B16" s="311" t="str">
        <x:v>→</x:v>
      </x:c>
      <x:c r="C16" s="311" t="str">
        <x:v>Installed cost</x:v>
      </x:c>
      <x:c r="D16" s="311" t="str">
        <x:v>→</x:v>
      </x:c>
      <x:c r="E16" s="311" t="str">
        <x:v>Operating benefits</x:v>
      </x:c>
      <x:c r="F16" s="311" t="str">
        <x:v>→</x:v>
      </x:c>
      <x:c r="G16" s="311" t="str">
        <x:v>Free cash flow</x:v>
      </x:c>
      <x:c r="H16" s="311" t="str">
        <x:v>→</x:v>
      </x:c>
      <x:c r="I16" s="311" t="str">
        <x:v>Returns</x:v>
      </x:c>
      <x:c r="J16" s="311" t="str">
        <x:v>→</x:v>
      </x:c>
      <x:c r="K16" s="311" t="str">
        <x:v>Sensitivity</x:v>
      </x:c>
      <x:c r="L16" s="311" t="str">
        <x:v>→</x:v>
      </x:c>
      <x:c r="M16" s="311" t="str">
        <x:v>IC Pack</x:v>
      </x:c>
      <x:c r="N16" s="311" t="str">
        <x:v>Checks</x:v>
      </x:c>
    </x:row>
    <x:row r="17">
      <x:c r="A17" s="310" t="str">
        <x:v>Blue cells</x:v>
      </x:c>
      <x:c r="B17" s="310" t="str"/>
      <x:c r="C17" s="310" t="str">
        <x:v>Vendor scope</x:v>
      </x:c>
      <x:c r="D17" s="310" t="str"/>
      <x:c r="E17" s="310" t="str">
        <x:v>Volume &amp; unit savings</x:v>
      </x:c>
      <x:c r="F17" s="310" t="str"/>
      <x:c r="G17" s="310" t="str">
        <x:v>Tax &amp; maintenance</x:v>
      </x:c>
      <x:c r="H17" s="310" t="str"/>
      <x:c r="I17" s="310" t="str">
        <x:v>NPV / IRR / payback</x:v>
      </x:c>
      <x:c r="J17" s="310" t="str"/>
      <x:c r="K17" s="310" t="str">
        <x:v>Discount rate × savings</x:v>
      </x:c>
      <x:c r="L17" s="310" t="str"/>
      <x:c r="M17" s="310" t="str">
        <x:v>Decision conditions</x:v>
      </x:c>
      <x:c r="N17" s="310" t="str">
        <x:v>PASS / FAIL</x:v>
      </x:c>
    </x:row>
    <x:row r="18">
      <x:c r="A18" s="310" t="str">
        <x:v>Scenario selector</x:v>
      </x:c>
      <x:c r="B18" s="310" t="str"/>
      <x:c r="C18" s="310" t="str">
        <x:v>Contingency &amp; ceiling</x:v>
      </x:c>
      <x:c r="D18" s="310" t="str"/>
      <x:c r="E18" s="310" t="str">
        <x:v>Ramp &amp; opex</x:v>
      </x:c>
      <x:c r="F18" s="310" t="str"/>
      <x:c r="G18" s="310" t="str">
        <x:v>Residual &amp; NWC</x:v>
      </x:c>
      <x:c r="H18" s="310" t="str"/>
      <x:c r="I18" s="310" t="str">
        <x:v>Scenario comparison</x:v>
      </x:c>
      <x:c r="J18" s="310" t="str"/>
      <x:c r="K18" s="310" t="str">
        <x:v>Downside protection</x:v>
      </x:c>
      <x:c r="L18" s="310" t="str"/>
      <x:c r="M18" s="310" t="str">
        <x:v>Risks &amp; owners</x:v>
      </x:c>
      <x:c r="N18" s="310" t="str">
        <x:v>Audit gate</x:v>
      </x:c>
    </x:row>
    <x:row r="21">
      <x:c r="A21" s="312" t="str">
        <x:v>HOW TO USE</x:v>
      </x:c>
      <x:c r="B21" s="312"/>
      <x:c r="C21" s="312"/>
      <x:c r="D21" s="312"/>
      <x:c r="E21" s="312"/>
      <x:c r="F21" s="312"/>
      <x:c r="G21" s="312"/>
      <x:c r="H21" s="312"/>
      <x:c r="I21" s="312"/>
      <x:c r="J21" s="312"/>
      <x:c r="K21" s="312"/>
      <x:c r="L21" s="312"/>
      <x:c r="M21" s="312"/>
      <x:c r="N21" s="312"/>
    </x:row>
    <x:row r="22">
      <x:c r="A22" s="331" t="str">
        <x:v>1. Select Downside, Base, or Upside on Assumptions.
2. Validate installed cost, ramp, unit savings, and incremental opex with accountable owners.
3. Review Returns, Sensitivity, Risk_Register, and IC_Pack.
4. Release capital only when Checks shows PASS and every condition precedent has evidence.
PASS confirms model integrity only. All case data is synthetic and portfolio-safe.</x:v>
      </x:c>
      <x:c r="B22" s="332"/>
      <x:c r="C22" s="332"/>
      <x:c r="D22" s="332"/>
      <x:c r="E22" s="332"/>
      <x:c r="F22" s="332"/>
      <x:c r="G22" s="332"/>
      <x:c r="H22" s="332"/>
      <x:c r="I22" s="332"/>
      <x:c r="J22" s="332"/>
      <x:c r="K22" s="332"/>
      <x:c r="L22" s="332"/>
      <x:c r="M22" s="332"/>
      <x:c r="N22" s="333"/>
    </x:row>
    <x:row r="23">
      <x:c r="A23" s="334"/>
      <x:c r="B23" s="335"/>
      <x:c r="C23" s="335"/>
      <x:c r="D23" s="335"/>
      <x:c r="E23" s="335"/>
      <x:c r="F23" s="335"/>
      <x:c r="G23" s="335"/>
      <x:c r="H23" s="335"/>
      <x:c r="I23" s="335"/>
      <x:c r="J23" s="335"/>
      <x:c r="K23" s="335"/>
      <x:c r="L23" s="335"/>
      <x:c r="M23" s="335"/>
      <x:c r="N23" s="336"/>
    </x:row>
    <x:row r="24">
      <x:c r="A24" s="334"/>
      <x:c r="B24" s="335"/>
      <x:c r="C24" s="335"/>
      <x:c r="D24" s="335"/>
      <x:c r="E24" s="335"/>
      <x:c r="F24" s="335"/>
      <x:c r="G24" s="335"/>
      <x:c r="H24" s="335"/>
      <x:c r="I24" s="335"/>
      <x:c r="J24" s="335"/>
      <x:c r="K24" s="335"/>
      <x:c r="L24" s="335"/>
      <x:c r="M24" s="335"/>
      <x:c r="N24" s="336"/>
    </x:row>
    <x:row r="25">
      <x:c r="A25" s="334"/>
      <x:c r="B25" s="335"/>
      <x:c r="C25" s="335"/>
      <x:c r="D25" s="335"/>
      <x:c r="E25" s="335"/>
      <x:c r="F25" s="335"/>
      <x:c r="G25" s="335"/>
      <x:c r="H25" s="335"/>
      <x:c r="I25" s="335"/>
      <x:c r="J25" s="335"/>
      <x:c r="K25" s="335"/>
      <x:c r="L25" s="335"/>
      <x:c r="M25" s="335"/>
      <x:c r="N25" s="336"/>
    </x:row>
    <x:row r="26">
      <x:c r="A26" s="334"/>
      <x:c r="B26" s="335"/>
      <x:c r="C26" s="335"/>
      <x:c r="D26" s="335"/>
      <x:c r="E26" s="335"/>
      <x:c r="F26" s="335"/>
      <x:c r="G26" s="335"/>
      <x:c r="H26" s="335"/>
      <x:c r="I26" s="335"/>
      <x:c r="J26" s="335"/>
      <x:c r="K26" s="335"/>
      <x:c r="L26" s="335"/>
      <x:c r="M26" s="335"/>
      <x:c r="N26" s="336"/>
    </x:row>
    <x:row r="27">
      <x:c r="A27" s="337"/>
      <x:c r="B27" s="338"/>
      <x:c r="C27" s="338"/>
      <x:c r="D27" s="338"/>
      <x:c r="E27" s="338"/>
      <x:c r="F27" s="338"/>
      <x:c r="G27" s="338"/>
      <x:c r="H27" s="338"/>
      <x:c r="I27" s="338"/>
      <x:c r="J27" s="338"/>
      <x:c r="K27" s="338"/>
      <x:c r="L27" s="338"/>
      <x:c r="M27" s="338"/>
      <x:c r="N27" s="339"/>
    </x:row>
  </x:sheetData>
  <x:mergeCells>
    <x:mergeCell ref="A1:N2"/>
    <x:mergeCell ref="A3:N3"/>
    <x:mergeCell ref="A5:N6"/>
    <x:mergeCell ref="A8:C8"/>
    <x:mergeCell ref="A9:C11"/>
    <x:mergeCell ref="E8:G8"/>
    <x:mergeCell ref="E9:G11"/>
    <x:mergeCell ref="I8:K8"/>
    <x:mergeCell ref="I9:K11"/>
    <x:mergeCell ref="M8:N8"/>
    <x:mergeCell ref="M9:N11"/>
    <x:mergeCell ref="A14:N14"/>
    <x:mergeCell ref="A21:N21"/>
    <x:mergeCell ref="A22:N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4" hidden="0" customWidth="1"/>
    <x:col min="4" max="4" width="28" hidden="0" customWidth="1"/>
    <x:col min="5" max="5" width="18" hidden="0" customWidth="1"/>
    <x:col min="6" max="6" width="14" hidden="0" customWidth="1"/>
    <x:col min="7" max="7" width="14" hidden="0" customWidth="1"/>
    <x:col min="8" max="8" width="14" hidden="0" customWidth="1"/>
  </x:cols>
  <x:sheetData>
    <x:row r="1">
      <x:c r="A1" s="3" t="str">
        <x:v>ASSUMPTIONS &amp; CONTROL PANEL</x:v>
      </x:c>
      <x:c r="B1" s="3"/>
      <x:c r="C1" s="3"/>
      <x:c r="D1" s="3"/>
      <x:c r="E1" s="3"/>
      <x:c r="F1" s="3"/>
      <x:c r="G1" s="3"/>
      <x:c r="H1" s="3"/>
    </x:row>
    <x:row r="2">
      <x:c r="A2" s="3"/>
      <x:c r="B2" s="3"/>
      <x:c r="C2" s="3"/>
      <x:c r="D2" s="3"/>
      <x:c r="E2" s="3"/>
      <x:c r="F2" s="3"/>
      <x:c r="G2" s="3"/>
      <x:c r="H2" s="3"/>
    </x:row>
    <x:row r="3">
      <x:c r="A3" s="6" t="str">
        <x:v>Blue text = editable input · Green text = linked formula · Currency in USD</x:v>
      </x:c>
      <x:c r="B3" s="6"/>
      <x:c r="C3" s="6"/>
      <x:c r="D3" s="6"/>
      <x:c r="E3" s="6"/>
      <x:c r="F3" s="6"/>
      <x:c r="G3" s="6"/>
      <x:c r="H3" s="6"/>
    </x:row>
    <x:row r="5">
      <x:c r="A5" s="39" t="str">
        <x:v>MODEL CONVENTIONS</x:v>
      </x:c>
      <x:c r="B5" s="39"/>
      <x:c r="D5" s="39" t="str">
        <x:v>SELECTED-SCENARIO FACTORS</x:v>
      </x:c>
      <x:c r="E5" s="39"/>
      <x:c r="F5" s="39"/>
      <x:c r="G5" s="39"/>
      <x:c r="H5" s="39"/>
    </x:row>
    <x:row r="6">
      <x:c r="A6" s="26" t="str">
        <x:v>Selected scenario</x:v>
      </x:c>
      <x:c r="B6" s="32" t="str">
        <x:v>Base</x:v>
      </x:c>
      <x:c r="D6" s="18" t="str">
        <x:v>Driver</x:v>
      </x:c>
      <x:c r="E6" s="20" t="str">
        <x:v>Selected factor</x:v>
      </x:c>
    </x:row>
    <x:row r="7">
      <x:c r="A7" s="27" t="str">
        <x:v>Decision date</x:v>
      </x:c>
      <x:c r="B7" s="40" t="n">
        <x:v>46257</x:v>
      </x:c>
      <x:c r="D7" s="26" t="str">
        <x:v>Savings realization</x:v>
      </x:c>
      <x:c r="E7" s="49" t="n">
        <x:f>INDEX('Scenarios'!$B$6:$D$6,1,MATCH($B$6,'Scenarios'!$B$5:$D$5,0))</x:f>
        <x:v>1</x:v>
      </x:c>
    </x:row>
    <x:row r="8">
      <x:c r="A8" s="27" t="str">
        <x:v>Currency</x:v>
      </x:c>
      <x:c r="B8" s="33" t="str">
        <x:v>USD</x:v>
      </x:c>
      <x:c r="D8" s="27" t="str">
        <x:v>Volume factor</x:v>
      </x:c>
      <x:c r="E8" s="50" t="n">
        <x:f>INDEX('Scenarios'!$B$7:$D$7,1,MATCH($B$6,'Scenarios'!$B$5:$D$5,0))</x:f>
        <x:v>1</x:v>
      </x:c>
    </x:row>
    <x:row r="9">
      <x:c r="A9" s="27" t="str">
        <x:v>Forecast horizon (years)</x:v>
      </x:c>
      <x:c r="B9" s="33" t="n">
        <x:v>8</x:v>
      </x:c>
      <x:c r="D9" s="27" t="str">
        <x:v>Installed-cost factor</x:v>
      </x:c>
      <x:c r="E9" s="50" t="n">
        <x:f>INDEX('Scenarios'!$B$8:$D$8,1,MATCH($B$6,'Scenarios'!$B$5:$D$5,0))</x:f>
        <x:v>1</x:v>
      </x:c>
    </x:row>
    <x:row r="10">
      <x:c r="A10" s="27" t="str">
        <x:v>Tax rate</x:v>
      </x:c>
      <x:c r="B10" s="36" t="n">
        <x:v>0.2</x:v>
      </x:c>
      <x:c r="D10" s="27" t="str">
        <x:v>Incremental-opex factor</x:v>
      </x:c>
      <x:c r="E10" s="50" t="n">
        <x:f>INDEX('Scenarios'!$B$9:$D$9,1,MATCH($B$6,'Scenarios'!$B$5:$D$5,0))</x:f>
        <x:v>1</x:v>
      </x:c>
    </x:row>
    <x:row r="11">
      <x:c r="A11" s="27" t="str">
        <x:v>Illustrative project discount rate</x:v>
      </x:c>
      <x:c r="B11" s="36" t="n">
        <x:v>0.11</x:v>
      </x:c>
      <x:c r="D11" s="27" t="str">
        <x:v>Year 1 ramp</x:v>
      </x:c>
      <x:c r="E11" s="50" t="n">
        <x:f>INDEX('Scenarios'!$B$10:$D$10,1,MATCH($B$6,'Scenarios'!$B$5:$D$5,0))</x:f>
        <x:v>0.6</x:v>
      </x:c>
    </x:row>
    <x:row r="12">
      <x:c r="A12" s="27" t="str">
        <x:v>IC hurdle IRR</x:v>
      </x:c>
      <x:c r="B12" s="36" t="n">
        <x:v>0.15</x:v>
      </x:c>
      <x:c r="D12" s="27" t="str">
        <x:v>Year 2 ramp</x:v>
      </x:c>
      <x:c r="E12" s="50" t="n">
        <x:f>INDEX('Scenarios'!$B$11:$D$11,1,MATCH($B$6,'Scenarios'!$B$5:$D$5,0))</x:f>
        <x:v>0.85</x:v>
      </x:c>
    </x:row>
    <x:row r="13">
      <x:c r="A13" s="27" t="str">
        <x:v>Maximum payback (years)</x:v>
      </x:c>
      <x:c r="B13" s="33" t="n">
        <x:v>5</x:v>
      </x:c>
      <x:c r="D13" s="28" t="str">
        <x:v>Steady-state ramp</x:v>
      </x:c>
      <x:c r="E13" s="51" t="n">
        <x:f>INDEX('Scenarios'!$B$12:$D$12,1,MATCH($B$6,'Scenarios'!$B$5:$D$5,0))</x:f>
        <x:v>1</x:v>
      </x:c>
    </x:row>
    <x:row r="14">
      <x:c r="A14" s="27" t="str">
        <x:v>Approval ceiling</x:v>
      </x:c>
      <x:c r="B14" s="41" t="n">
        <x:v>7000000</x:v>
      </x:c>
    </x:row>
    <x:row r="15">
      <x:c r="A15" s="27" t="str">
        <x:v>Initial working capital</x:v>
      </x:c>
      <x:c r="B15" s="41" t="n">
        <x:v>250000</x:v>
      </x:c>
    </x:row>
    <x:row r="16">
      <x:c r="A16" s="27" t="str">
        <x:v>Residual value %</x:v>
      </x:c>
      <x:c r="B16" s="36" t="n">
        <x:v>0.05</x:v>
      </x:c>
      <x:c r="D16" s="71" t="str">
        <x:v>Case design
Orion Fulfillment is a fictional distribution operator evaluating an automated sortation line. All operating, cost, tax, and risk inputs are synthetic and independently created. The workbook demonstrates capital-allocation logic—not a live procurement recommendation.</x:v>
      </x:c>
      <x:c r="E16" s="72"/>
      <x:c r="F16" s="72"/>
      <x:c r="G16" s="72"/>
      <x:c r="H16" s="73"/>
    </x:row>
    <x:row r="17">
      <x:c r="A17" s="28" t="str">
        <x:v>Maintenance capex %</x:v>
      </x:c>
      <x:c r="B17" s="37" t="n">
        <x:v>0.02</x:v>
      </x:c>
      <x:c r="D17" s="74"/>
      <x:c r="E17" s="75"/>
      <x:c r="F17" s="75"/>
      <x:c r="G17" s="75"/>
      <x:c r="H17" s="76"/>
    </x:row>
    <x:row r="18">
      <x:c r="D18" s="74"/>
      <x:c r="E18" s="75"/>
      <x:c r="F18" s="75"/>
      <x:c r="G18" s="75"/>
      <x:c r="H18" s="76"/>
    </x:row>
    <x:row r="19">
      <x:c r="D19" s="74"/>
      <x:c r="E19" s="75"/>
      <x:c r="F19" s="75"/>
      <x:c r="G19" s="75"/>
      <x:c r="H19" s="76"/>
    </x:row>
    <x:row r="20">
      <x:c r="A20" s="39" t="str">
        <x:v>BASE INSTALLED COST</x:v>
      </x:c>
      <x:c r="B20" s="39"/>
      <x:c r="D20" s="77"/>
      <x:c r="E20" s="78"/>
      <x:c r="F20" s="78"/>
      <x:c r="G20" s="78"/>
      <x:c r="H20" s="79"/>
    </x:row>
    <x:row r="21">
      <x:c r="A21" s="26" t="str">
        <x:v>Automation equipment</x:v>
      </x:c>
      <x:c r="B21" s="42" t="n">
        <x:v>4200000</x:v>
      </x:c>
    </x:row>
    <x:row r="22">
      <x:c r="A22" s="27" t="str">
        <x:v>Installation &amp; commissioning</x:v>
      </x:c>
      <x:c r="B22" s="41" t="n">
        <x:v>800000</x:v>
      </x:c>
    </x:row>
    <x:row r="23">
      <x:c r="A23" s="27" t="str">
        <x:v>Systems integration</x:v>
      </x:c>
      <x:c r="B23" s="41" t="n">
        <x:v>450000</x:v>
      </x:c>
    </x:row>
    <x:row r="24">
      <x:c r="A24" s="27" t="str">
        <x:v>Facility upgrades</x:v>
      </x:c>
      <x:c r="B24" s="41" t="n">
        <x:v>350000</x:v>
      </x:c>
    </x:row>
    <x:row r="25">
      <x:c r="A25" s="27" t="str">
        <x:v>Contingency %</x:v>
      </x:c>
      <x:c r="B25" s="36" t="n">
        <x:v>0.1</x:v>
      </x:c>
    </x:row>
    <x:row r="26">
      <x:c r="A26" s="28" t="str">
        <x:v>Useful life (years)</x:v>
      </x:c>
      <x:c r="B26" s="34" t="n">
        <x:v>8</x:v>
      </x:c>
    </x:row>
    <x:row r="29">
      <x:c r="A29" s="39" t="str">
        <x:v>BASE OPERATING DRIVERS</x:v>
      </x:c>
      <x:c r="B29" s="39"/>
    </x:row>
    <x:row r="30">
      <x:c r="A30" s="26" t="str">
        <x:v>Year 1 order volume</x:v>
      </x:c>
      <x:c r="B30" s="43" t="n">
        <x:v>2400000</x:v>
      </x:c>
    </x:row>
    <x:row r="31">
      <x:c r="A31" s="27" t="str">
        <x:v>Annual volume growth</x:v>
      </x:c>
      <x:c r="B31" s="36" t="n">
        <x:v>0.03</x:v>
      </x:c>
    </x:row>
    <x:row r="32">
      <x:c r="A32" s="27" t="str">
        <x:v>Labor saving / order</x:v>
      </x:c>
      <x:c r="B32" s="44" t="n">
        <x:v>1.1</x:v>
      </x:c>
    </x:row>
    <x:row r="33">
      <x:c r="A33" s="27" t="str">
        <x:v>Quality saving / order</x:v>
      </x:c>
      <x:c r="B33" s="44" t="n">
        <x:v>0.28</x:v>
      </x:c>
    </x:row>
    <x:row r="34">
      <x:c r="A34" s="27" t="str">
        <x:v>Annual maintenance</x:v>
      </x:c>
      <x:c r="B34" s="41" t="n">
        <x:v>600000</x:v>
      </x:c>
    </x:row>
    <x:row r="35">
      <x:c r="A35" s="27" t="str">
        <x:v>Annual software</x:v>
      </x:c>
      <x:c r="B35" s="41" t="n">
        <x:v>180000</x:v>
      </x:c>
    </x:row>
    <x:row r="36">
      <x:c r="A36" s="27" t="str">
        <x:v>Annual utilities</x:v>
      </x:c>
      <x:c r="B36" s="41" t="n">
        <x:v>220000</x:v>
      </x:c>
    </x:row>
    <x:row r="37">
      <x:c r="A37" s="28" t="str">
        <x:v>Annual training</x:v>
      </x:c>
      <x:c r="B37" s="45" t="n">
        <x:v>80000</x:v>
      </x:c>
    </x:row>
  </x:sheetData>
  <x:mergeCells>
    <x:mergeCell ref="A1:H2"/>
    <x:mergeCell ref="A3:H3"/>
    <x:mergeCell ref="A5:B5"/>
    <x:mergeCell ref="A20:B20"/>
    <x:mergeCell ref="A29:B29"/>
    <x:mergeCell ref="D5:H5"/>
    <x:mergeCell ref="D16:H20"/>
  </x:mergeCells>
  <x:dataValidations count="1">
    <x:dataValidation type="list" sqref="B6">
      <x:formula1>"Downside,Base,Upside"</x:formula1>
    </x:dataValidation>
  </x:dataValidations>
  <x:pageMargins left="0.7" right="0.7" top="0.75" bottom="0.75" header="0.3" footer="0.3"/>
  <x:legacyDrawing xmlns:r="http://schemas.openxmlformats.org/officeDocument/2006/relationships" r:id="R4baff38859854dc6"/>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19" hidden="0" customWidth="1"/>
    <x:col min="3" max="3" width="19" hidden="0" customWidth="1"/>
    <x:col min="4" max="4" width="19" hidden="0" customWidth="1"/>
    <x:col min="5" max="5" width="16"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x:c r="A1" s="3" t="str">
        <x:v>SCENARIO LIBRARY</x:v>
      </x:c>
      <x:c r="B1" s="3"/>
      <x:c r="C1" s="3"/>
      <x:c r="D1" s="3"/>
      <x:c r="E1" s="3"/>
      <x:c r="F1" s="3"/>
      <x:c r="G1" s="3"/>
      <x:c r="H1" s="3"/>
      <x:c r="I1" s="3"/>
      <x:c r="J1" s="3"/>
      <x:c r="K1" s="3"/>
      <x:c r="L1" s="3"/>
      <x:c r="M1" s="3"/>
      <x:c r="N1" s="3"/>
    </x:row>
    <x:row r="2">
      <x:c r="A2" s="3"/>
      <x:c r="B2" s="3"/>
      <x:c r="C2" s="3"/>
      <x:c r="D2" s="3"/>
      <x:c r="E2" s="3"/>
      <x:c r="F2" s="3"/>
      <x:c r="G2" s="3"/>
      <x:c r="H2" s="3"/>
      <x:c r="I2" s="3"/>
      <x:c r="J2" s="3"/>
      <x:c r="K2" s="3"/>
      <x:c r="L2" s="3"/>
      <x:c r="M2" s="3"/>
      <x:c r="N2" s="3"/>
    </x:row>
    <x:row r="3">
      <x:c r="A3" s="6" t="str">
        <x:v>Independent synthetic assumptions for decision testing</x:v>
      </x:c>
      <x:c r="B3" s="6"/>
      <x:c r="C3" s="6"/>
      <x:c r="D3" s="6"/>
      <x:c r="E3" s="6"/>
      <x:c r="F3" s="6"/>
      <x:c r="G3" s="6"/>
      <x:c r="H3" s="6"/>
      <x:c r="I3" s="6"/>
      <x:c r="J3" s="6"/>
      <x:c r="K3" s="6"/>
      <x:c r="L3" s="6"/>
      <x:c r="M3" s="6"/>
      <x:c r="N3" s="6"/>
    </x:row>
    <x:row r="5">
      <x:c r="A5" s="18" t="str">
        <x:v>Driver</x:v>
      </x:c>
      <x:c r="B5" s="19" t="str">
        <x:v>Downside</x:v>
      </x:c>
      <x:c r="C5" s="19" t="str">
        <x:v>Base</x:v>
      </x:c>
      <x:c r="D5" s="20" t="str">
        <x:v>Upside</x:v>
      </x:c>
    </x:row>
    <x:row r="6">
      <x:c r="A6" s="26" t="str">
        <x:v>Savings realization</x:v>
      </x:c>
      <x:c r="B6" s="35" t="n">
        <x:v>0.8</x:v>
      </x:c>
      <x:c r="C6" s="35" t="n">
        <x:v>1</x:v>
      </x:c>
      <x:c r="D6" s="35" t="n">
        <x:v>1.15</x:v>
      </x:c>
    </x:row>
    <x:row r="7">
      <x:c r="A7" s="27" t="str">
        <x:v>Volume factor</x:v>
      </x:c>
      <x:c r="B7" s="36" t="n">
        <x:v>0.85</x:v>
      </x:c>
      <x:c r="C7" s="36" t="n">
        <x:v>1</x:v>
      </x:c>
      <x:c r="D7" s="36" t="n">
        <x:v>1.1</x:v>
      </x:c>
    </x:row>
    <x:row r="8">
      <x:c r="A8" s="27" t="str">
        <x:v>Installed-cost factor</x:v>
      </x:c>
      <x:c r="B8" s="36" t="n">
        <x:v>1.15</x:v>
      </x:c>
      <x:c r="C8" s="36" t="n">
        <x:v>1</x:v>
      </x:c>
      <x:c r="D8" s="36" t="n">
        <x:v>0.95</x:v>
      </x:c>
    </x:row>
    <x:row r="9">
      <x:c r="A9" s="27" t="str">
        <x:v>Incremental-opex factor</x:v>
      </x:c>
      <x:c r="B9" s="36" t="n">
        <x:v>1.15</x:v>
      </x:c>
      <x:c r="C9" s="36" t="n">
        <x:v>1</x:v>
      </x:c>
      <x:c r="D9" s="36" t="n">
        <x:v>0.9</x:v>
      </x:c>
    </x:row>
    <x:row r="10">
      <x:c r="A10" s="27" t="str">
        <x:v>Year 1 ramp</x:v>
      </x:c>
      <x:c r="B10" s="36" t="n">
        <x:v>0.4</x:v>
      </x:c>
      <x:c r="C10" s="36" t="n">
        <x:v>0.6</x:v>
      </x:c>
      <x:c r="D10" s="36" t="n">
        <x:v>0.75</x:v>
      </x:c>
    </x:row>
    <x:row r="11">
      <x:c r="A11" s="27" t="str">
        <x:v>Year 2 ramp</x:v>
      </x:c>
      <x:c r="B11" s="36" t="n">
        <x:v>0.7</x:v>
      </x:c>
      <x:c r="C11" s="36" t="n">
        <x:v>0.85</x:v>
      </x:c>
      <x:c r="D11" s="36" t="n">
        <x:v>0.95</x:v>
      </x:c>
    </x:row>
    <x:row r="12">
      <x:c r="A12" s="28" t="str">
        <x:v>Steady-state ramp</x:v>
      </x:c>
      <x:c r="B12" s="37" t="n">
        <x:v>0.9</x:v>
      </x:c>
      <x:c r="C12" s="37" t="n">
        <x:v>1</x:v>
      </x:c>
      <x:c r="D12" s="37" t="n">
        <x:v>1.05</x:v>
      </x:c>
    </x:row>
    <x:row r="15">
      <x:c r="A15" s="39" t="str">
        <x:v>DECISION USE</x:v>
      </x:c>
      <x:c r="B15" s="39"/>
      <x:c r="C15" s="39"/>
      <x:c r="D15" s="39"/>
      <x:c r="F15" s="39" t="str">
        <x:v>SCENARIO FREE CASH FLOW</x:v>
      </x:c>
      <x:c r="G15" s="39"/>
      <x:c r="H15" s="39"/>
      <x:c r="I15" s="39"/>
      <x:c r="J15" s="39"/>
      <x:c r="K15" s="39"/>
      <x:c r="L15" s="39"/>
      <x:c r="M15" s="39"/>
      <x:c r="N15" s="39"/>
    </x:row>
    <x:row r="16">
      <x:c r="A16" s="18" t="str">
        <x:v>Scenario</x:v>
      </x:c>
      <x:c r="B16" s="19" t="str">
        <x:v>Purpose</x:v>
      </x:c>
      <x:c r="C16" s="19" t="str">
        <x:v>Core assumption</x:v>
      </x:c>
      <x:c r="D16" s="20" t="str">
        <x:v>IC use</x:v>
      </x:c>
      <x:c r="F16" s="18" t="n">
        <x:v>0</x:v>
      </x:c>
      <x:c r="G16" s="19" t="n">
        <x:v>1</x:v>
      </x:c>
      <x:c r="H16" s="19" t="n">
        <x:v>2</x:v>
      </x:c>
      <x:c r="I16" s="19" t="n">
        <x:v>3</x:v>
      </x:c>
      <x:c r="J16" s="19" t="n">
        <x:v>4</x:v>
      </x:c>
      <x:c r="K16" s="19" t="n">
        <x:v>5</x:v>
      </x:c>
      <x:c r="L16" s="19" t="n">
        <x:v>6</x:v>
      </x:c>
      <x:c r="M16" s="19" t="n">
        <x:v>7</x:v>
      </x:c>
      <x:c r="N16" s="20" t="n">
        <x:v>8</x:v>
      </x:c>
    </x:row>
    <x:row r="17">
      <x:c r="A17" s="26" t="str">
        <x:v>Downside</x:v>
      </x:c>
      <x:c r="B17" s="26" t="str">
        <x:v>Protect capital</x:v>
      </x:c>
      <x:c r="C17" s="26" t="str">
        <x:v>Cost overrun and slower benefits</x:v>
      </x:c>
      <x:c r="D17" s="26" t="str">
        <x:v>Funding and stop-loss test</x:v>
      </x:c>
    </x:row>
    <x:row r="18">
      <x:c r="A18" s="27" t="str">
        <x:v>Base</x:v>
      </x:c>
      <x:c r="B18" s="27" t="str">
        <x:v>Approve / reject</x:v>
      </x:c>
      <x:c r="C18" s="27" t="str">
        <x:v>Contracted cost and planned ramp</x:v>
      </x:c>
      <x:c r="D18" s="27" t="str">
        <x:v>Primary decision case</x:v>
      </x:c>
    </x:row>
    <x:row r="19">
      <x:c r="A19" s="28" t="str">
        <x:v>Upside</x:v>
      </x:c>
      <x:c r="B19" s="28" t="str">
        <x:v>Execution potential</x:v>
      </x:c>
      <x:c r="C19" s="28" t="str">
        <x:v>Faster adoption and stronger savings</x:v>
      </x:c>
      <x:c r="D19" s="28" t="str">
        <x:v>Value-creation ceiling</x:v>
      </x:c>
    </x:row>
    <x:row r="22">
      <x:c r="E22" s="26" t="str">
        <x:v>Downside</x:v>
      </x:c>
      <x:c r="F22" s="86" t="n">
        <x:f>-((SUM('Assumptions'!$B$21:$B$24)*(1+'Assumptions'!$B$25))*B$8+'Assumptions'!$B$15)</x:f>
        <x:v>-7587000.000000001</x:v>
      </x:c>
      <x:c r="G22" s="86" t="n">
        <x:f>(('Assumptions'!$B$30*(1+'Assumptions'!$B$31)^(1-1)*B$7)*('Assumptions'!$B$32+'Assumptions'!$B$33)*B$6*B$10-(SUM('Assumptions'!$B$34:$B$37)*B$9*(1+2%)^(1-1)))-MAX(0,((('Assumptions'!$B$30*(1+'Assumptions'!$B$31)^(1-1)*B$7)*('Assumptions'!$B$32+'Assumptions'!$B$33)*B$6*B$10-(SUM('Assumptions'!$B$34:$B$37)*B$9*(1+2%)^(1-1)))-((SUM('Assumptions'!$B$21:$B$24)*(1+'Assumptions'!$B$25))*B$8*(1-'Assumptions'!$B$16)/'Assumptions'!$B$26))*'Assumptions'!$B$10)-0+0</x:f>
        <x:v>-341135.99999999977</x:v>
      </x:c>
      <x:c r="H22" s="86" t="n">
        <x:f>(('Assumptions'!$B$30*(1+'Assumptions'!$B$31)^(2-1)*B$7)*('Assumptions'!$B$32+'Assumptions'!$B$33)*B$6*B$11-(SUM('Assumptions'!$B$34:$B$37)*B$9*(1+2%)^(2-1)))-MAX(0,((('Assumptions'!$B$30*(1+'Assumptions'!$B$31)^(2-1)*B$7)*('Assumptions'!$B$32+'Assumptions'!$B$33)*B$6*B$11-(SUM('Assumptions'!$B$34:$B$37)*B$9*(1+2%)^(2-1)))-((SUM('Assumptions'!$B$21:$B$24)*(1+'Assumptions'!$B$25))*B$8*(1-'Assumptions'!$B$16)/'Assumptions'!$B$26))*'Assumptions'!$B$10)-0+0</x:f>
        <x:v>356967.3600000001</x:v>
      </x:c>
      <x:c r="I22" s="86" t="n">
        <x:f>(('Assumptions'!$B$30*(1+'Assumptions'!$B$31)^(3-1)*B$7)*('Assumptions'!$B$32+'Assumptions'!$B$33)*B$6*B$12-(SUM('Assumptions'!$B$34:$B$37)*B$9*(1+2%)^(3-1)))-MAX(0,((('Assumptions'!$B$30*(1+'Assumptions'!$B$31)^(3-1)*B$7)*('Assumptions'!$B$32+'Assumptions'!$B$33)*B$6*B$12-(SUM('Assumptions'!$B$34:$B$37)*B$9*(1+2%)^(3-1)))-((SUM('Assumptions'!$B$21:$B$24)*(1+'Assumptions'!$B$25))*B$8*(1-'Assumptions'!$B$16)/'Assumptions'!$B$26))*'Assumptions'!$B$10)-((SUM('Assumptions'!$B$21:$B$24)*(1+'Assumptions'!$B$25))*B$8*'Assumptions'!$B$17)+0</x:f>
        <x:v>711468.0896000003</x:v>
      </x:c>
      <x:c r="J22" s="86" t="n">
        <x:f>(('Assumptions'!$B$30*(1+'Assumptions'!$B$31)^(4-1)*B$7)*('Assumptions'!$B$32+'Assumptions'!$B$33)*B$6*B$12-(SUM('Assumptions'!$B$34:$B$37)*B$9*(1+2%)^(4-1)))-MAX(0,((('Assumptions'!$B$30*(1+'Assumptions'!$B$31)^(4-1)*B$7)*('Assumptions'!$B$32+'Assumptions'!$B$33)*B$6*B$12-(SUM('Assumptions'!$B$34:$B$37)*B$9*(1+2%)^(4-1)))-((SUM('Assumptions'!$B$21:$B$24)*(1+'Assumptions'!$B$25))*B$8*(1-'Assumptions'!$B$16)/'Assumptions'!$B$26))*'Assumptions'!$B$10)-((SUM('Assumptions'!$B$21:$B$24)*(1+'Assumptions'!$B$25))*B$8*'Assumptions'!$B$17)+0</x:f>
        <x:v>745014.6302303997</x:v>
      </x:c>
      <x:c r="K22" s="86" t="n">
        <x:f>(('Assumptions'!$B$30*(1+'Assumptions'!$B$31)^(5-1)*B$7)*('Assumptions'!$B$32+'Assumptions'!$B$33)*B$6*B$12-(SUM('Assumptions'!$B$34:$B$37)*B$9*(1+2%)^(5-1)))-MAX(0,((('Assumptions'!$B$30*(1+'Assumptions'!$B$31)^(5-1)*B$7)*('Assumptions'!$B$32+'Assumptions'!$B$33)*B$6*B$12-(SUM('Assumptions'!$B$34:$B$37)*B$9*(1+2%)^(5-1)))-((SUM('Assumptions'!$B$21:$B$24)*(1+'Assumptions'!$B$25))*B$8*(1-'Assumptions'!$B$16)/'Assumptions'!$B$26))*'Assumptions'!$B$10)-((SUM('Assumptions'!$B$21:$B$24)*(1+'Assumptions'!$B$25))*B$8*'Assumptions'!$B$17)+0</x:f>
        <x:v>777083.8193253123</x:v>
      </x:c>
      <x:c r="L22" s="86" t="n">
        <x:f>(('Assumptions'!$B$30*(1+'Assumptions'!$B$31)^(6-1)*B$7)*('Assumptions'!$B$32+'Assumptions'!$B$33)*B$6*B$12-(SUM('Assumptions'!$B$34:$B$37)*B$9*(1+2%)^(6-1)))-MAX(0,((('Assumptions'!$B$30*(1+'Assumptions'!$B$31)^(6-1)*B$7)*('Assumptions'!$B$32+'Assumptions'!$B$33)*B$6*B$12-(SUM('Assumptions'!$B$34:$B$37)*B$9*(1+2%)^(6-1)))-((SUM('Assumptions'!$B$21:$B$24)*(1+'Assumptions'!$B$25))*B$8*(1-'Assumptions'!$B$16)/'Assumptions'!$B$26))*'Assumptions'!$B$10)-((SUM('Assumptions'!$B$21:$B$24)*(1+'Assumptions'!$B$25))*B$8*'Assumptions'!$B$17)+0</x:f>
        <x:v>810325.9673468318</x:v>
      </x:c>
      <x:c r="M22" s="86" t="n">
        <x:f>(('Assumptions'!$B$30*(1+'Assumptions'!$B$31)^(7-1)*B$7)*('Assumptions'!$B$32+'Assumptions'!$B$33)*B$6*B$12-(SUM('Assumptions'!$B$34:$B$37)*B$9*(1+2%)^(7-1)))-MAX(0,((('Assumptions'!$B$30*(1+'Assumptions'!$B$31)^(7-1)*B$7)*('Assumptions'!$B$32+'Assumptions'!$B$33)*B$6*B$12-(SUM('Assumptions'!$B$34:$B$37)*B$9*(1+2%)^(7-1)))-((SUM('Assumptions'!$B$21:$B$24)*(1+'Assumptions'!$B$25))*B$8*(1-'Assumptions'!$B$16)/'Assumptions'!$B$26))*'Assumptions'!$B$10)-((SUM('Assumptions'!$B$21:$B$24)*(1+'Assumptions'!$B$25))*B$8*'Assumptions'!$B$17)+0</x:f>
        <x:v>844780.4807278321</x:v>
      </x:c>
      <x:c r="N22" s="86" t="n">
        <x:f>(('Assumptions'!$B$30*(1+'Assumptions'!$B$31)^(8-1)*B$7)*('Assumptions'!$B$32+'Assumptions'!$B$33)*B$6*B$12-(SUM('Assumptions'!$B$34:$B$37)*B$9*(1+2%)^(8-1)))-MAX(0,((('Assumptions'!$B$30*(1+'Assumptions'!$B$31)^(8-1)*B$7)*('Assumptions'!$B$32+'Assumptions'!$B$33)*B$6*B$12-(SUM('Assumptions'!$B$34:$B$37)*B$9*(1+2%)^(8-1)))-((SUM('Assumptions'!$B$21:$B$24)*(1+'Assumptions'!$B$25))*B$8*(1-'Assumptions'!$B$16)/'Assumptions'!$B$26))*'Assumptions'!$B$10)-((SUM('Assumptions'!$B$21:$B$24)*(1+'Assumptions'!$B$25))*B$8*'Assumptions'!$B$17)+('Assumptions'!$B$15+(SUM('Assumptions'!$B$21:$B$24)*(1+'Assumptions'!$B$25))*B$8*'Assumptions'!$B$16)</x:f>
        <x:v>1497338.032447474</x:v>
      </x:c>
    </x:row>
    <x:row r="23">
      <x:c r="E23" s="27" t="str">
        <x:v>Base</x:v>
      </x:c>
      <x:c r="F23" s="87" t="n">
        <x:f>-((SUM('Assumptions'!$B$21:$B$24)*(1+'Assumptions'!$B$25))*C$8+'Assumptions'!$B$15)</x:f>
        <x:v>-6630000.000000001</x:v>
      </x:c>
      <x:c r="G23" s="87" t="n">
        <x:f>(('Assumptions'!$B$30*(1+'Assumptions'!$B$31)^(1-1)*C$7)*('Assumptions'!$B$32+'Assumptions'!$B$33)*C$6*C$10-(SUM('Assumptions'!$B$34:$B$37)*C$9*(1+2%)^(1-1)))-MAX(0,((('Assumptions'!$B$30*(1+'Assumptions'!$B$31)^(1-1)*C$7)*('Assumptions'!$B$32+'Assumptions'!$B$33)*C$6*C$10-(SUM('Assumptions'!$B$34:$B$37)*C$9*(1+2%)^(1-1)))-((SUM('Assumptions'!$B$21:$B$24)*(1+'Assumptions'!$B$25))*C$8*(1-'Assumptions'!$B$16)/'Assumptions'!$B$26))*'Assumptions'!$B$10)-0+0</x:f>
        <x:v>877285.0000000002</x:v>
      </x:c>
      <x:c r="H23" s="87" t="n">
        <x:f>(('Assumptions'!$B$30*(1+'Assumptions'!$B$31)^(2-1)*C$7)*('Assumptions'!$B$32+'Assumptions'!$B$33)*C$6*C$11-(SUM('Assumptions'!$B$34:$B$37)*C$9*(1+2%)^(2-1)))-MAX(0,((('Assumptions'!$B$30*(1+'Assumptions'!$B$31)^(2-1)*C$7)*('Assumptions'!$B$32+'Assumptions'!$B$33)*C$6*C$11-(SUM('Assumptions'!$B$34:$B$37)*C$9*(1+2%)^(2-1)))-((SUM('Assumptions'!$B$21:$B$24)*(1+'Assumptions'!$B$25))*C$8*(1-'Assumptions'!$B$16)/'Assumptions'!$B$26))*'Assumptions'!$B$10)-0+0</x:f>
        <x:v>1589969.8000000003</x:v>
      </x:c>
      <x:c r="I23" s="87" t="n">
        <x:f>(('Assumptions'!$B$30*(1+'Assumptions'!$B$31)^(3-1)*C$7)*('Assumptions'!$B$32+'Assumptions'!$B$33)*C$6*C$12-(SUM('Assumptions'!$B$34:$B$37)*C$9*(1+2%)^(3-1)))-MAX(0,((('Assumptions'!$B$30*(1+'Assumptions'!$B$31)^(3-1)*C$7)*('Assumptions'!$B$32+'Assumptions'!$B$33)*C$6*C$12-(SUM('Assumptions'!$B$34:$B$37)*C$9*(1+2%)^(3-1)))-((SUM('Assumptions'!$B$21:$B$24)*(1+'Assumptions'!$B$25))*C$8*(1-'Assumptions'!$B$16)/'Assumptions'!$B$26))*'Assumptions'!$B$10)-((SUM('Assumptions'!$B$21:$B$24)*(1+'Assumptions'!$B$25))*C$8*'Assumptions'!$B$17)+0</x:f>
        <x:v>1935980.0400000003</x:v>
      </x:c>
      <x:c r="J23" s="87" t="n">
        <x:f>(('Assumptions'!$B$30*(1+'Assumptions'!$B$31)^(4-1)*C$7)*('Assumptions'!$B$32+'Assumptions'!$B$33)*C$6*C$12-(SUM('Assumptions'!$B$34:$B$37)*C$9*(1+2%)^(4-1)))-MAX(0,((('Assumptions'!$B$30*(1+'Assumptions'!$B$31)^(4-1)*C$7)*('Assumptions'!$B$32+'Assumptions'!$B$33)*C$6*C$12-(SUM('Assumptions'!$B$34:$B$37)*C$9*(1+2%)^(4-1)))-((SUM('Assumptions'!$B$21:$B$24)*(1+'Assumptions'!$B$25))*C$8*(1-'Assumptions'!$B$16)/'Assumptions'!$B$26))*'Assumptions'!$B$10)-((SUM('Assumptions'!$B$21:$B$24)*(1+'Assumptions'!$B$25))*C$8*'Assumptions'!$B$17)+0</x:f>
        <x:v>2002330.7472</x:v>
      </x:c>
      <x:c r="K23" s="87" t="n">
        <x:f>(('Assumptions'!$B$30*(1+'Assumptions'!$B$31)^(5-1)*C$7)*('Assumptions'!$B$32+'Assumptions'!$B$33)*C$6*C$12-(SUM('Assumptions'!$B$34:$B$37)*C$9*(1+2%)^(5-1)))-MAX(0,((('Assumptions'!$B$30*(1+'Assumptions'!$B$31)^(5-1)*C$7)*('Assumptions'!$B$32+'Assumptions'!$B$33)*C$6*C$12-(SUM('Assumptions'!$B$34:$B$37)*C$9*(1+2%)^(5-1)))-((SUM('Assumptions'!$B$21:$B$24)*(1+'Assumptions'!$B$25))*C$8*(1-'Assumptions'!$B$16)/'Assumptions'!$B$26))*'Assumptions'!$B$10)-((SUM('Assumptions'!$B$21:$B$24)*(1+'Assumptions'!$B$25))*C$8*'Assumptions'!$B$17)+0</x:f>
        <x:v>2070851.7567360005</x:v>
      </x:c>
      <x:c r="L23" s="87" t="n">
        <x:f>(('Assumptions'!$B$30*(1+'Assumptions'!$B$31)^(6-1)*C$7)*('Assumptions'!$B$32+'Assumptions'!$B$33)*C$6*C$12-(SUM('Assumptions'!$B$34:$B$37)*C$9*(1+2%)^(6-1)))-MAX(0,((('Assumptions'!$B$30*(1+'Assumptions'!$B$31)^(6-1)*C$7)*('Assumptions'!$B$32+'Assumptions'!$B$33)*C$6*C$12-(SUM('Assumptions'!$B$34:$B$37)*C$9*(1+2%)^(6-1)))-((SUM('Assumptions'!$B$21:$B$24)*(1+'Assumptions'!$B$25))*C$8*(1-'Assumptions'!$B$16)/'Assumptions'!$B$26))*'Assumptions'!$B$10)-((SUM('Assumptions'!$B$21:$B$24)*(1+'Assumptions'!$B$25))*C$8*'Assumptions'!$B$17)+0</x:f>
        <x:v>2141611.77330048</x:v>
      </x:c>
      <x:c r="M23" s="87" t="n">
        <x:f>(('Assumptions'!$B$30*(1+'Assumptions'!$B$31)^(7-1)*C$7)*('Assumptions'!$B$32+'Assumptions'!$B$33)*C$6*C$12-(SUM('Assumptions'!$B$34:$B$37)*C$9*(1+2%)^(7-1)))-MAX(0,((('Assumptions'!$B$30*(1+'Assumptions'!$B$31)^(7-1)*C$7)*('Assumptions'!$B$32+'Assumptions'!$B$33)*C$6*C$12-(SUM('Assumptions'!$B$34:$B$37)*C$9*(1+2%)^(7-1)))-((SUM('Assumptions'!$B$21:$B$24)*(1+'Assumptions'!$B$25))*C$8*(1-'Assumptions'!$B$16)/'Assumptions'!$B$26))*'Assumptions'!$B$10)-((SUM('Assumptions'!$B$21:$B$24)*(1+'Assumptions'!$B$25))*C$8*'Assumptions'!$B$17)+0</x:f>
        <x:v>2214681.634639143</x:v>
      </x:c>
      <x:c r="N23" s="87" t="n">
        <x:f>(('Assumptions'!$B$30*(1+'Assumptions'!$B$31)^(8-1)*C$7)*('Assumptions'!$B$32+'Assumptions'!$B$33)*C$6*C$12-(SUM('Assumptions'!$B$34:$B$37)*C$9*(1+2%)^(8-1)))-MAX(0,((('Assumptions'!$B$30*(1+'Assumptions'!$B$31)^(8-1)*C$7)*('Assumptions'!$B$32+'Assumptions'!$B$33)*C$6*C$12-(SUM('Assumptions'!$B$34:$B$37)*C$9*(1+2%)^(8-1)))-((SUM('Assumptions'!$B$21:$B$24)*(1+'Assumptions'!$B$25))*C$8*(1-'Assumptions'!$B$16)/'Assumptions'!$B$26))*'Assumptions'!$B$10)-((SUM('Assumptions'!$B$21:$B$24)*(1+'Assumptions'!$B$25))*C$8*'Assumptions'!$B$17)+('Assumptions'!$B$15+(SUM('Assumptions'!$B$21:$B$24)*(1+'Assumptions'!$B$25))*C$8*'Assumptions'!$B$16)</x:f>
        <x:v>2859134.3769807583</x:v>
      </x:c>
    </x:row>
    <x:row r="24">
      <x:c r="E24" s="28" t="str">
        <x:v>Upside</x:v>
      </x:c>
      <x:c r="F24" s="88" t="n">
        <x:f>-((SUM('Assumptions'!$B$21:$B$24)*(1+'Assumptions'!$B$25))*D$8+'Assumptions'!$B$15)</x:f>
        <x:v>-6311000.000000001</x:v>
      </x:c>
      <x:c r="G24" s="88" t="n">
        <x:f>(('Assumptions'!$B$30*(1+'Assumptions'!$B$31)^(1-1)*D$7)*('Assumptions'!$B$32+'Assumptions'!$B$33)*D$6*D$10-(SUM('Assumptions'!$B$34:$B$37)*D$9*(1+2%)^(1-1)))-MAX(0,((('Assumptions'!$B$30*(1+'Assumptions'!$B$31)^(1-1)*D$7)*('Assumptions'!$B$32+'Assumptions'!$B$33)*D$6*D$10-(SUM('Assumptions'!$B$34:$B$37)*D$9*(1+2%)^(1-1)))-((SUM('Assumptions'!$B$21:$B$24)*(1+'Assumptions'!$B$25))*D$8*(1-'Assumptions'!$B$16)/'Assumptions'!$B$26))*'Assumptions'!$B$10)-0+0</x:f>
        <x:v>1880156.75</x:v>
      </x:c>
      <x:c r="H24" s="88" t="n">
        <x:f>(('Assumptions'!$B$30*(1+'Assumptions'!$B$31)^(2-1)*D$7)*('Assumptions'!$B$32+'Assumptions'!$B$33)*D$6*D$11-(SUM('Assumptions'!$B$34:$B$37)*D$9*(1+2%)^(2-1)))-MAX(0,((('Assumptions'!$B$30*(1+'Assumptions'!$B$31)^(2-1)*D$7)*('Assumptions'!$B$32+'Assumptions'!$B$33)*D$6*D$11-(SUM('Assumptions'!$B$34:$B$37)*D$9*(1+2%)^(2-1)))-((SUM('Assumptions'!$B$21:$B$24)*(1+'Assumptions'!$B$25))*D$8*(1-'Assumptions'!$B$16)/'Assumptions'!$B$26))*'Assumptions'!$B$10)-0+0</x:f>
        <x:v>2630478.254</x:v>
      </x:c>
      <x:c r="I24" s="88" t="n">
        <x:f>(('Assumptions'!$B$30*(1+'Assumptions'!$B$31)^(3-1)*D$7)*('Assumptions'!$B$32+'Assumptions'!$B$33)*D$6*D$12-(SUM('Assumptions'!$B$34:$B$37)*D$9*(1+2%)^(3-1)))-MAX(0,((('Assumptions'!$B$30*(1+'Assumptions'!$B$31)^(3-1)*D$7)*('Assumptions'!$B$32+'Assumptions'!$B$33)*D$6*D$12-(SUM('Assumptions'!$B$34:$B$37)*D$9*(1+2%)^(3-1)))-((SUM('Assumptions'!$B$21:$B$24)*(1+'Assumptions'!$B$25))*D$8*(1-'Assumptions'!$B$16)/'Assumptions'!$B$26))*'Assumptions'!$B$10)-((SUM('Assumptions'!$B$21:$B$24)*(1+'Assumptions'!$B$25))*D$8*'Assumptions'!$B$17)+0</x:f>
        <x:v>2947372.1800800003</x:v>
      </x:c>
      <x:c r="J24" s="88" t="n">
        <x:f>(('Assumptions'!$B$30*(1+'Assumptions'!$B$31)^(4-1)*D$7)*('Assumptions'!$B$32+'Assumptions'!$B$33)*D$6*D$12-(SUM('Assumptions'!$B$34:$B$37)*D$9*(1+2%)^(4-1)))-MAX(0,((('Assumptions'!$B$30*(1+'Assumptions'!$B$31)^(4-1)*D$7)*('Assumptions'!$B$32+'Assumptions'!$B$33)*D$6*D$12-(SUM('Assumptions'!$B$34:$B$37)*D$9*(1+2%)^(4-1)))-((SUM('Assumptions'!$B$21:$B$24)*(1+'Assumptions'!$B$25))*D$8*(1-'Assumptions'!$B$16)/'Assumptions'!$B$26))*'Assumptions'!$B$10)-((SUM('Assumptions'!$B$21:$B$24)*(1+'Assumptions'!$B$25))*D$8*'Assumptions'!$B$17)+0</x:f>
        <x:v>3043201.6333824</x:v>
      </x:c>
      <x:c r="K24" s="88" t="n">
        <x:f>(('Assumptions'!$B$30*(1+'Assumptions'!$B$31)^(5-1)*D$7)*('Assumptions'!$B$32+'Assumptions'!$B$33)*D$6*D$12-(SUM('Assumptions'!$B$34:$B$37)*D$9*(1+2%)^(5-1)))-MAX(0,((('Assumptions'!$B$30*(1+'Assumptions'!$B$31)^(5-1)*D$7)*('Assumptions'!$B$32+'Assumptions'!$B$33)*D$6*D$12-(SUM('Assumptions'!$B$34:$B$37)*D$9*(1+2%)^(5-1)))-((SUM('Assumptions'!$B$21:$B$24)*(1+'Assumptions'!$B$25))*D$8*(1-'Assumptions'!$B$16)/'Assumptions'!$B$26))*'Assumptions'!$B$10)-((SUM('Assumptions'!$B$21:$B$24)*(1+'Assumptions'!$B$25))*D$8*'Assumptions'!$B$17)+0</x:f>
        <x:v>3142067.7732918733</x:v>
      </x:c>
      <x:c r="L24" s="88" t="n">
        <x:f>(('Assumptions'!$B$30*(1+'Assumptions'!$B$31)^(6-1)*D$7)*('Assumptions'!$B$32+'Assumptions'!$B$33)*D$6*D$12-(SUM('Assumptions'!$B$34:$B$37)*D$9*(1+2%)^(6-1)))-MAX(0,((('Assumptions'!$B$30*(1+'Assumptions'!$B$31)^(6-1)*D$7)*('Assumptions'!$B$32+'Assumptions'!$B$33)*D$6*D$12-(SUM('Assumptions'!$B$34:$B$37)*D$9*(1+2%)^(6-1)))-((SUM('Assumptions'!$B$21:$B$24)*(1+'Assumptions'!$B$25))*D$8*(1-'Assumptions'!$B$16)/'Assumptions'!$B$26))*'Assumptions'!$B$10)-((SUM('Assumptions'!$B$21:$B$24)*(1+'Assumptions'!$B$25))*D$8*'Assumptions'!$B$17)+0</x:f>
        <x:v>3244064.9364667884</x:v>
      </x:c>
      <x:c r="M24" s="88" t="n">
        <x:f>(('Assumptions'!$B$30*(1+'Assumptions'!$B$31)^(7-1)*D$7)*('Assumptions'!$B$32+'Assumptions'!$B$33)*D$6*D$12-(SUM('Assumptions'!$B$34:$B$37)*D$9*(1+2%)^(7-1)))-MAX(0,((('Assumptions'!$B$30*(1+'Assumptions'!$B$31)^(7-1)*D$7)*('Assumptions'!$B$32+'Assumptions'!$B$33)*D$6*D$12-(SUM('Assumptions'!$B$34:$B$37)*D$9*(1+2%)^(7-1)))-((SUM('Assumptions'!$B$21:$B$24)*(1+'Assumptions'!$B$25))*D$8*(1-'Assumptions'!$B$16)/'Assumptions'!$B$26))*'Assumptions'!$B$10)-((SUM('Assumptions'!$B$21:$B$24)*(1+'Assumptions'!$B$25))*D$8*'Assumptions'!$B$17)+0</x:f>
        <x:v>3349290.3543864763</x:v>
      </x:c>
      <x:c r="N24" s="88" t="n">
        <x:f>(('Assumptions'!$B$30*(1+'Assumptions'!$B$31)^(8-1)*D$7)*('Assumptions'!$B$32+'Assumptions'!$B$33)*D$6*D$12-(SUM('Assumptions'!$B$34:$B$37)*D$9*(1+2%)^(8-1)))-MAX(0,((('Assumptions'!$B$30*(1+'Assumptions'!$B$31)^(8-1)*D$7)*('Assumptions'!$B$32+'Assumptions'!$B$33)*D$6*D$12-(SUM('Assumptions'!$B$34:$B$37)*D$9*(1+2%)^(8-1)))-((SUM('Assumptions'!$B$21:$B$24)*(1+'Assumptions'!$B$25))*D$8*(1-'Assumptions'!$B$16)/'Assumptions'!$B$26))*'Assumptions'!$B$10)-((SUM('Assumptions'!$B$21:$B$24)*(1+'Assumptions'!$B$25))*D$8*'Assumptions'!$B$17)+('Assumptions'!$B$15+(SUM('Assumptions'!$B$21:$B$24)*(1+'Assumptions'!$B$25))*D$8*'Assumptions'!$B$16)</x:f>
        <x:v>4010894.2414902663</x:v>
      </x:c>
    </x:row>
    <x:row r="27">
      <x:c r="A27" s="18" t="str">
        <x:v>Output</x:v>
      </x:c>
      <x:c r="B27" s="19" t="str">
        <x:v>Downside</x:v>
      </x:c>
      <x:c r="C27" s="19" t="str">
        <x:v>Base</x:v>
      </x:c>
      <x:c r="D27" s="20" t="str">
        <x:v>Upside</x:v>
      </x:c>
    </x:row>
    <x:row r="28">
      <x:c r="A28" s="26" t="str">
        <x:v>NPV</x:v>
      </x:c>
      <x:c r="B28" s="80" t="n">
        <x:f>NPV('Assumptions'!$B$11,G22:N22)+F22</x:f>
        <x:v>-4642598.41673687</x:v>
      </x:c>
      <x:c r="C28" s="80" t="n">
        <x:f>NPV('Assumptions'!$B$11,G23:N23)+F23</x:f>
        <x:v>2866688.2417097883</x:v>
      </x:c>
      <x:c r="D28" s="80" t="n">
        <x:f>NPV('Assumptions'!$B$11,G24:N24)+F24</x:f>
        <x:v>8630255.420861755</x:v>
      </x:c>
    </x:row>
    <x:row r="29">
      <x:c r="A29" s="27" t="str">
        <x:v>IRR</x:v>
      </x:c>
      <x:c r="B29" s="84" t="n">
        <x:f>IRR(F22:N22)</x:f>
        <x:v>-0.05484754853649619</x:v>
      </x:c>
      <x:c r="C29" s="84" t="n">
        <x:f>IRR(F23:N23)</x:f>
        <x:v>0.20532275771145153</x:v>
      </x:c>
      <x:c r="D29" s="84" t="n">
        <x:f>IRR(F24:N24)</x:f>
        <x:v>0.3895362932596948</x:v>
      </x:c>
    </x:row>
    <x:row r="30">
      <x:c r="A30" s="27" t="str">
        <x:v>Payback</x:v>
      </x:c>
      <x:c r="B30" s="126" t="str">
        <x:f>IF(SUM($F$22:$G$22)&gt;=0,1-ABS($F$22)/$G$22,IF(SUM($F$22:$H$22)&gt;=0,2-ABS(SUM($F$22:$G$22))/$H$22,IF(SUM($F$22:$I$22)&gt;=0,3-ABS(SUM($F$22:$H$22))/$I$22,IF(SUM($F$22:$J$22)&gt;=0,4-ABS(SUM($F$22:$I$22))/$J$22,IF(SUM($F$22:$K$22)&gt;=0,5-ABS(SUM($F$22:$J$22))/$K$22,IF(SUM($F$22:$L$22)&gt;=0,6-ABS(SUM($F$22:$K$22))/$L$22,IF(SUM($F$22:$M$22)&gt;=0,7-ABS(SUM($F$22:$L$22))/$M$22,IF(SUM($F$22:$N$22)&gt;=0,8-ABS(SUM($F$22:$M$22))/$N$22,"N/M"))))))))</x:f>
        <x:v>N/M</x:v>
      </x:c>
      <x:c r="C30" s="126" t="n">
        <x:f>IF(SUM($F$23:$G$23)&gt;=0,1-ABS($F$23)/$G$23,IF(SUM($F$23:$H$23)&gt;=0,2-ABS(SUM($F$23:$G$23))/$H$23,IF(SUM($F$23:$I$23)&gt;=0,3-ABS(SUM($F$23:$H$23))/$I$23,IF(SUM($F$23:$J$23)&gt;=0,4-ABS(SUM($F$23:$I$23))/$J$23,IF(SUM($F$23:$K$23)&gt;=0,5-ABS(SUM($F$23:$J$23))/$K$23,IF(SUM($F$23:$L$23)&gt;=0,6-ABS(SUM($F$23:$K$23))/$L$23,IF(SUM($F$23:$M$23)&gt;=0,7-ABS(SUM($F$23:$L$23))/$M$23,IF(SUM($F$23:$N$23)&gt;=0,8-ABS(SUM($F$23:$M$23))/$N$23,"N/M"))))))))</x:f>
        <x:v>4.891622173306241</x:v>
      </x:c>
      <x:c r="D30" s="126" t="n">
        <x:f>IF(SUM($F$24:$G$24)&gt;=0,1-ABS($F$24)/$G$24,IF(SUM($F$24:$H$24)&gt;=0,2-ABS(SUM($F$24:$G$24))/$H$24,IF(SUM($F$24:$I$24)&gt;=0,3-ABS(SUM($F$24:$H$24))/$I$24,IF(SUM($F$24:$J$24)&gt;=0,4-ABS(SUM($F$24:$I$24))/$J$24,IF(SUM($F$24:$K$24)&gt;=0,5-ABS(SUM($F$24:$J$24))/$K$24,IF(SUM($F$24:$L$24)&gt;=0,6-ABS(SUM($F$24:$K$24))/$L$24,IF(SUM($F$24:$M$24)&gt;=0,7-ABS(SUM($F$24:$L$24))/$M$24,IF(SUM($F$24:$N$24)&gt;=0,8-ABS(SUM($F$24:$M$24))/$N$24,"N/M"))))))))</x:f>
        <x:v>2.389162655409493</x:v>
      </x:c>
    </x:row>
    <x:row r="31">
      <x:c r="A31" s="28" t="str">
        <x:v>Decision</x:v>
      </x:c>
      <x:c r="B31" s="28" t="str">
        <x:f>IF(AND(B28&gt;0,B29&gt;='Assumptions'!$B$12,B30&lt;='Assumptions'!$B$13),"APPROVE",IF(B28&gt;0,"STAGE GATE","REJECT / REDESIGN"))</x:f>
        <x:v>REJECT / REDESIGN</x:v>
      </x:c>
      <x:c r="C31" s="28" t="str">
        <x:f>IF(AND(C28&gt;0,C29&gt;='Assumptions'!$B$12,C30&lt;='Assumptions'!$B$13,'Capex_Schedule'!$D$18="PASS"),"APPROVE",IF(AND(C28&gt;0,C29&gt;='Assumptions'!$B$12,C30&lt;='Assumptions'!$B$13),"APPROVE WITH CONDITIONS",IF(C28&gt;0,"STAGE GATE","REJECT / REDESIGN")))</x:f>
        <x:v>APPROVE WITH CONDITIONS</x:v>
      </x:c>
      <x:c r="D31" s="28" t="str">
        <x:f>IF(AND(D28&gt;0,D29&gt;='Assumptions'!$B$12,D30&lt;='Assumptions'!$B$13,'Capex_Schedule'!$D$18="PASS"),"APPROVE",IF(AND(D28&gt;0,D29&gt;='Assumptions'!$B$12,D30&lt;='Assumptions'!$B$13),"APPROVE WITH CONDITIONS",IF(D28&gt;0,"STAGE GATE","REJECT / REDESIGN")))</x:f>
        <x:v>APPROVE WITH CONDITIONS</x:v>
      </x:c>
      <x:c r="E31" t="str">
        <x:f>IF(AND(E28&gt;0,E29&gt;='Assumptions'!$B$12,E30&lt;='Assumptions'!$B$13,'Capex_Schedule'!$D$18="PASS"),"APPROVE",IF(AND(E28&gt;0,E29&gt;='Assumptions'!$B$12,E30&lt;='Assumptions'!$B$13),"APPROVE WITH CONDITIONS",IF(E28&gt;0,"STAGE GATE","REJECT / REDESIGN")))</x:f>
        <x:v>REJECT / REDESIGN</x:v>
      </x:c>
    </x:row>
  </x:sheetData>
  <x:mergeCells>
    <x:mergeCell ref="A1:N2"/>
    <x:mergeCell ref="A3:N3"/>
    <x:mergeCell ref="A15:D15"/>
    <x:mergeCell ref="F15:N1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9" hidden="0" customWidth="1"/>
    <x:col min="2" max="2" width="17" hidden="0" customWidth="1"/>
    <x:col min="3" max="3" width="17" hidden="0" customWidth="1"/>
    <x:col min="4" max="4" width="17" hidden="0" customWidth="1"/>
    <x:col min="5" max="5" width="17" hidden="0" customWidth="1"/>
    <x:col min="6" max="6" width="17" hidden="0" customWidth="1"/>
    <x:col min="7" max="7" width="16" hidden="0" customWidth="1"/>
    <x:col min="8" max="8" width="16" hidden="0" customWidth="1"/>
    <x:col min="9" max="9" width="24" hidden="0" customWidth="1"/>
  </x:cols>
  <x:sheetData>
    <x:row r="1">
      <x:c r="A1" s="3" t="str">
        <x:v>CAPEX SCHEDULE</x:v>
      </x:c>
      <x:c r="B1" s="3"/>
      <x:c r="C1" s="3"/>
      <x:c r="D1" s="3"/>
      <x:c r="E1" s="3"/>
      <x:c r="F1" s="3"/>
      <x:c r="G1" s="3"/>
      <x:c r="H1" s="3"/>
      <x:c r="I1" s="3"/>
    </x:row>
    <x:row r="2">
      <x:c r="A2" s="3"/>
      <x:c r="B2" s="3"/>
      <x:c r="C2" s="3"/>
      <x:c r="D2" s="3"/>
      <x:c r="E2" s="3"/>
      <x:c r="F2" s="3"/>
      <x:c r="G2" s="3"/>
      <x:c r="H2" s="3"/>
      <x:c r="I2" s="3"/>
    </x:row>
    <x:row r="3">
      <x:c r="A3" s="6" t="str">
        <x:v>Installed cost, contingency, scenario factor, ownership, and approval ceiling</x:v>
      </x:c>
      <x:c r="B3" s="6"/>
      <x:c r="C3" s="6"/>
      <x:c r="D3" s="6"/>
      <x:c r="E3" s="6"/>
      <x:c r="F3" s="6"/>
      <x:c r="G3" s="6"/>
      <x:c r="H3" s="6"/>
      <x:c r="I3" s="6"/>
    </x:row>
    <x:row r="5">
      <x:c r="A5" s="18" t="str">
        <x:v>Cost item</x:v>
      </x:c>
      <x:c r="B5" s="19" t="str">
        <x:v>Base cost</x:v>
      </x:c>
      <x:c r="C5" s="19" t="str">
        <x:v>Scenario factor</x:v>
      </x:c>
      <x:c r="D5" s="19" t="str">
        <x:v>Selected cost</x:v>
      </x:c>
      <x:c r="E5" s="19" t="str">
        <x:v>Spend timing</x:v>
      </x:c>
      <x:c r="F5" s="19" t="str">
        <x:v>Year 0 cash</x:v>
      </x:c>
      <x:c r="G5" s="19" t="str">
        <x:v>Owner</x:v>
      </x:c>
      <x:c r="H5" s="19" t="str">
        <x:v>Quote status</x:v>
      </x:c>
      <x:c r="I5" s="20" t="str">
        <x:v>Control basis</x:v>
      </x:c>
    </x:row>
    <x:row r="6">
      <x:c r="A6" s="26" t="str">
        <x:v>Automation equipment</x:v>
      </x:c>
      <x:c r="B6" s="86" t="n">
        <x:f>'Assumptions'!B21</x:f>
        <x:v>4200000</x:v>
      </x:c>
      <x:c r="C6" s="49" t="n">
        <x:f>'Assumptions'!E9</x:f>
        <x:v>1</x:v>
      </x:c>
      <x:c r="D6" s="80" t="n">
        <x:f>B6*C6</x:f>
        <x:v>4200000</x:v>
      </x:c>
      <x:c r="E6" s="80" t="str">
        <x:v>Pre-go-live</x:v>
      </x:c>
      <x:c r="F6" s="80" t="n">
        <x:f>-D6</x:f>
        <x:v>-4200000</x:v>
      </x:c>
      <x:c r="G6" s="26" t="str">
        <x:v>Operations</x:v>
      </x:c>
      <x:c r="H6" s="26" t="str">
        <x:v>Budgetary</x:v>
      </x:c>
      <x:c r="I6" s="26" t="str">
        <x:v>Vendor quote</x:v>
      </x:c>
    </x:row>
    <x:row r="7">
      <x:c r="A7" s="27" t="str">
        <x:v>Installation &amp; commissioning</x:v>
      </x:c>
      <x:c r="B7" s="87" t="n">
        <x:f>'Assumptions'!B22</x:f>
        <x:v>800000</x:v>
      </x:c>
      <x:c r="C7" s="50" t="n">
        <x:f>'Assumptions'!E9</x:f>
        <x:v>1</x:v>
      </x:c>
      <x:c r="D7" s="81" t="n">
        <x:f>B7*C7</x:f>
        <x:v>800000</x:v>
      </x:c>
      <x:c r="E7" s="81" t="str">
        <x:v>Pre-go-live</x:v>
      </x:c>
      <x:c r="F7" s="81" t="n">
        <x:f>-D7</x:f>
        <x:v>-800000</x:v>
      </x:c>
      <x:c r="G7" s="27" t="str">
        <x:v>Engineering</x:v>
      </x:c>
      <x:c r="H7" s="27" t="str">
        <x:v>Budgetary</x:v>
      </x:c>
      <x:c r="I7" s="27" t="str">
        <x:v>Statement of work</x:v>
      </x:c>
    </x:row>
    <x:row r="8">
      <x:c r="A8" s="27" t="str">
        <x:v>Systems integration</x:v>
      </x:c>
      <x:c r="B8" s="87" t="n">
        <x:f>'Assumptions'!B23</x:f>
        <x:v>450000</x:v>
      </x:c>
      <x:c r="C8" s="50" t="n">
        <x:f>'Assumptions'!E9</x:f>
        <x:v>1</x:v>
      </x:c>
      <x:c r="D8" s="81" t="n">
        <x:f>B8*C8</x:f>
        <x:v>450000</x:v>
      </x:c>
      <x:c r="E8" s="81" t="str">
        <x:v>Pre-go-live</x:v>
      </x:c>
      <x:c r="F8" s="81" t="n">
        <x:f>-D8</x:f>
        <x:v>-450000</x:v>
      </x:c>
      <x:c r="G8" s="27" t="str">
        <x:v>Technology</x:v>
      </x:c>
      <x:c r="H8" s="27" t="str">
        <x:v>Budgetary</x:v>
      </x:c>
      <x:c r="I8" s="27" t="str">
        <x:v>Interface scope</x:v>
      </x:c>
    </x:row>
    <x:row r="9">
      <x:c r="A9" s="27" t="str">
        <x:v>Facility upgrades</x:v>
      </x:c>
      <x:c r="B9" s="87" t="n">
        <x:f>'Assumptions'!B24</x:f>
        <x:v>350000</x:v>
      </x:c>
      <x:c r="C9" s="50" t="n">
        <x:f>'Assumptions'!E9</x:f>
        <x:v>1</x:v>
      </x:c>
      <x:c r="D9" s="81" t="n">
        <x:f>B9*C9</x:f>
        <x:v>350000</x:v>
      </x:c>
      <x:c r="E9" s="81" t="str">
        <x:v>Pre-go-live</x:v>
      </x:c>
      <x:c r="F9" s="81" t="n">
        <x:f>-D9</x:f>
        <x:v>-350000</x:v>
      </x:c>
      <x:c r="G9" s="27" t="str">
        <x:v>Facilities</x:v>
      </x:c>
      <x:c r="H9" s="27" t="str">
        <x:v>Budgetary</x:v>
      </x:c>
      <x:c r="I9" s="27" t="str">
        <x:v>Site survey</x:v>
      </x:c>
    </x:row>
    <x:row r="10">
      <x:c r="A10" s="28" t="str">
        <x:v>Contingency</x:v>
      </x:c>
      <x:c r="B10" s="88" t="n">
        <x:f>SUM(B6:B9)*'Assumptions'!B25</x:f>
        <x:v>580000</x:v>
      </x:c>
      <x:c r="C10" s="51" t="n">
        <x:f>'Assumptions'!E9</x:f>
        <x:v>1</x:v>
      </x:c>
      <x:c r="D10" s="82" t="n">
        <x:f>B10*C10</x:f>
        <x:v>580000</x:v>
      </x:c>
      <x:c r="E10" s="82" t="str">
        <x:v>Held centrally</x:v>
      </x:c>
      <x:c r="F10" s="82" t="n">
        <x:f>-D10</x:f>
        <x:v>-580000</x:v>
      </x:c>
      <x:c r="G10" s="28" t="str">
        <x:v>Finance</x:v>
      </x:c>
      <x:c r="H10" s="28" t="str">
        <x:v>Policy</x:v>
      </x:c>
      <x:c r="I10" s="28" t="str">
        <x:v>% of installed cost</x:v>
      </x:c>
    </x:row>
    <x:row r="12">
      <x:c r="A12" s="93" t="str">
        <x:v>TOTAL INSTALLED COST</x:v>
      </x:c>
      <x:c r="B12" s="94"/>
      <x:c r="C12" s="94"/>
      <x:c r="D12" s="94" t="n">
        <x:f>SUM(D6:D10)</x:f>
        <x:v>6380000</x:v>
      </x:c>
      <x:c r="E12" s="94"/>
      <x:c r="F12" s="94" t="n">
        <x:f>SUM(F6:F10)</x:f>
        <x:v>-6380000</x:v>
      </x:c>
      <x:c r="G12" s="94"/>
      <x:c r="H12" s="94"/>
      <x:c r="I12" s="95"/>
    </x:row>
    <x:row r="15">
      <x:c r="A15" s="18" t="str">
        <x:v>Approval test</x:v>
      </x:c>
      <x:c r="B15" s="19" t="str">
        <x:v>Actual</x:v>
      </x:c>
      <x:c r="C15" s="19" t="str">
        <x:v>Limit</x:v>
      </x:c>
      <x:c r="D15" s="20" t="str">
        <x:v>Status</x:v>
      </x:c>
    </x:row>
    <x:row r="16">
      <x:c r="A16" s="26" t="str">
        <x:v>Installed cost</x:v>
      </x:c>
      <x:c r="B16" s="80" t="n">
        <x:f>D12</x:f>
        <x:v>6380000</x:v>
      </x:c>
      <x:c r="C16" s="80" t="n">
        <x:f>'Assumptions'!B14</x:f>
        <x:v>7000000</x:v>
      </x:c>
      <x:c r="D16" s="26" t="str">
        <x:f>IF(B16&lt;=C16,"PASS","FAIL")</x:f>
        <x:v>PASS</x:v>
      </x:c>
    </x:row>
    <x:row r="17">
      <x:c r="A17" s="27" t="str">
        <x:v>Contingency</x:v>
      </x:c>
      <x:c r="B17" s="81" t="n">
        <x:f>D10</x:f>
        <x:v>580000</x:v>
      </x:c>
      <x:c r="C17" s="81" t="n">
        <x:f>SUM(D6:D9)*'Assumptions'!B25</x:f>
        <x:v>580000</x:v>
      </x:c>
      <x:c r="D17" s="27" t="str">
        <x:f>IF(ABS(B17-C17)&lt;1,"PASS","FAIL")</x:f>
        <x:v>PASS</x:v>
      </x:c>
    </x:row>
    <x:row r="18">
      <x:c r="A18" s="28" t="str">
        <x:v>Quote coverage</x:v>
      </x:c>
      <x:c r="B18" s="28" t="n">
        <x:v>0</x:v>
      </x:c>
      <x:c r="C18" s="28" t="n">
        <x:v>1</x:v>
      </x:c>
      <x:c r="D18" s="28" t="str">
        <x:v>OPEN</x:v>
      </x:c>
    </x:row>
  </x:sheetData>
  <x:mergeCells>
    <x:mergeCell ref="A1:I2"/>
    <x:mergeCell ref="A3:I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9"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x:c r="A1" s="3" t="str">
        <x:v>OPERATING BENEFIT CASE</x:v>
      </x:c>
      <x:c r="B1" s="3"/>
      <x:c r="C1" s="3"/>
      <x:c r="D1" s="3"/>
      <x:c r="E1" s="3"/>
      <x:c r="F1" s="3"/>
      <x:c r="G1" s="3"/>
      <x:c r="H1" s="3"/>
      <x:c r="I1" s="3"/>
    </x:row>
    <x:row r="2">
      <x:c r="A2" s="3"/>
      <x:c r="B2" s="3"/>
      <x:c r="C2" s="3"/>
      <x:c r="D2" s="3"/>
      <x:c r="E2" s="3"/>
      <x:c r="F2" s="3"/>
      <x:c r="G2" s="3"/>
      <x:c r="H2" s="3"/>
      <x:c r="I2" s="3"/>
    </x:row>
    <x:row r="3">
      <x:c r="A3" s="6" t="str">
        <x:v>Annual benefit ramp and incremental operating cost · Years 1–8</x:v>
      </x:c>
      <x:c r="B3" s="6"/>
      <x:c r="C3" s="6"/>
      <x:c r="D3" s="6"/>
      <x:c r="E3" s="6"/>
      <x:c r="F3" s="6"/>
      <x:c r="G3" s="6"/>
      <x:c r="H3" s="6"/>
      <x:c r="I3" s="6"/>
    </x:row>
    <x:row r="5">
      <x:c r="A5" s="18" t="str">
        <x:v>Year</x:v>
      </x:c>
      <x:c r="B5" s="19" t="n">
        <x:v>1</x:v>
      </x:c>
      <x:c r="C5" s="19" t="n">
        <x:v>2</x:v>
      </x:c>
      <x:c r="D5" s="19" t="n">
        <x:v>3</x:v>
      </x:c>
      <x:c r="E5" s="19" t="n">
        <x:v>4</x:v>
      </x:c>
      <x:c r="F5" s="19" t="n">
        <x:v>5</x:v>
      </x:c>
      <x:c r="G5" s="19" t="n">
        <x:v>6</x:v>
      </x:c>
      <x:c r="H5" s="19" t="n">
        <x:v>7</x:v>
      </x:c>
      <x:c r="I5" s="20" t="n">
        <x:v>8</x:v>
      </x:c>
    </x:row>
    <x:row r="7">
      <x:c r="A7" s="26" t="str">
        <x:v>Benefit ramp</x:v>
      </x:c>
      <x:c r="B7" s="49" t="n">
        <x:f>'Assumptions'!E11</x:f>
        <x:v>0.6</x:v>
      </x:c>
      <x:c r="C7" s="49" t="n">
        <x:f>'Assumptions'!E12</x:f>
        <x:v>0.85</x:v>
      </x:c>
      <x:c r="D7" s="49" t="n">
        <x:f>'Assumptions'!E13</x:f>
        <x:v>1</x:v>
      </x:c>
      <x:c r="E7" s="49" t="n">
        <x:f>'Assumptions'!E13</x:f>
        <x:v>1</x:v>
      </x:c>
      <x:c r="F7" s="49" t="n">
        <x:f>'Assumptions'!E13</x:f>
        <x:v>1</x:v>
      </x:c>
      <x:c r="G7" s="49" t="n">
        <x:f>'Assumptions'!E13</x:f>
        <x:v>1</x:v>
      </x:c>
      <x:c r="H7" s="49" t="n">
        <x:f>'Assumptions'!E13</x:f>
        <x:v>1</x:v>
      </x:c>
      <x:c r="I7" s="49" t="n">
        <x:f>'Assumptions'!E13</x:f>
        <x:v>1</x:v>
      </x:c>
    </x:row>
    <x:row r="8">
      <x:c r="A8" s="27" t="str">
        <x:v>Order volume</x:v>
      </x:c>
      <x:c r="B8" s="98" t="n">
        <x:f>'Assumptions'!$B$30*(1+'Assumptions'!$B$31)^(B$5-1)*'Assumptions'!$E$8</x:f>
        <x:v>2400000</x:v>
      </x:c>
      <x:c r="C8" s="98" t="n">
        <x:f>'Assumptions'!$B$30*(1+'Assumptions'!$B$31)^(C$5-1)*'Assumptions'!$E$8</x:f>
        <x:v>2472000</x:v>
      </x:c>
      <x:c r="D8" s="98" t="n">
        <x:f>'Assumptions'!$B$30*(1+'Assumptions'!$B$31)^(D$5-1)*'Assumptions'!$E$8</x:f>
        <x:v>2546160</x:v>
      </x:c>
      <x:c r="E8" s="98" t="n">
        <x:f>'Assumptions'!$B$30*(1+'Assumptions'!$B$31)^(E$5-1)*'Assumptions'!$E$8</x:f>
        <x:v>2622544.8</x:v>
      </x:c>
      <x:c r="F8" s="98" t="n">
        <x:f>'Assumptions'!$B$30*(1+'Assumptions'!$B$31)^(F$5-1)*'Assumptions'!$E$8</x:f>
        <x:v>2701221.1440000003</x:v>
      </x:c>
      <x:c r="G8" s="98" t="n">
        <x:f>'Assumptions'!$B$30*(1+'Assumptions'!$B$31)^(G$5-1)*'Assumptions'!$E$8</x:f>
        <x:v>2782257.77832</x:v>
      </x:c>
      <x:c r="H8" s="98" t="n">
        <x:f>'Assumptions'!$B$30*(1+'Assumptions'!$B$31)^(H$5-1)*'Assumptions'!$E$8</x:f>
        <x:v>2865725.5116696004</x:v>
      </x:c>
      <x:c r="I8" s="98" t="n">
        <x:f>'Assumptions'!$B$30*(1+'Assumptions'!$B$31)^(I$5-1)*'Assumptions'!$E$8</x:f>
        <x:v>2951697.2770196884</x:v>
      </x:c>
    </x:row>
    <x:row r="9">
      <x:c r="A9" s="27" t="str">
        <x:v>Labor saving / order</x:v>
      </x:c>
      <x:c r="B9" s="99" t="n">
        <x:f>'Assumptions'!$B$32*'Assumptions'!$E$7</x:f>
        <x:v>1.1</x:v>
      </x:c>
      <x:c r="C9" s="99" t="n">
        <x:f>'Assumptions'!$B$32*'Assumptions'!$E$7</x:f>
        <x:v>1.1</x:v>
      </x:c>
      <x:c r="D9" s="99" t="n">
        <x:f>'Assumptions'!$B$32*'Assumptions'!$E$7</x:f>
        <x:v>1.1</x:v>
      </x:c>
      <x:c r="E9" s="99" t="n">
        <x:f>'Assumptions'!$B$32*'Assumptions'!$E$7</x:f>
        <x:v>1.1</x:v>
      </x:c>
      <x:c r="F9" s="99" t="n">
        <x:f>'Assumptions'!$B$32*'Assumptions'!$E$7</x:f>
        <x:v>1.1</x:v>
      </x:c>
      <x:c r="G9" s="99" t="n">
        <x:f>'Assumptions'!$B$32*'Assumptions'!$E$7</x:f>
        <x:v>1.1</x:v>
      </x:c>
      <x:c r="H9" s="99" t="n">
        <x:f>'Assumptions'!$B$32*'Assumptions'!$E$7</x:f>
        <x:v>1.1</x:v>
      </x:c>
      <x:c r="I9" s="99" t="n">
        <x:f>'Assumptions'!$B$32*'Assumptions'!$E$7</x:f>
        <x:v>1.1</x:v>
      </x:c>
    </x:row>
    <x:row r="10">
      <x:c r="A10" s="27" t="str">
        <x:v>Quality saving / order</x:v>
      </x:c>
      <x:c r="B10" s="99" t="n">
        <x:f>'Assumptions'!$B$33*'Assumptions'!$E$7</x:f>
        <x:v>0.28</x:v>
      </x:c>
      <x:c r="C10" s="99" t="n">
        <x:f>'Assumptions'!$B$33*'Assumptions'!$E$7</x:f>
        <x:v>0.28</x:v>
      </x:c>
      <x:c r="D10" s="99" t="n">
        <x:f>'Assumptions'!$B$33*'Assumptions'!$E$7</x:f>
        <x:v>0.28</x:v>
      </x:c>
      <x:c r="E10" s="99" t="n">
        <x:f>'Assumptions'!$B$33*'Assumptions'!$E$7</x:f>
        <x:v>0.28</x:v>
      </x:c>
      <x:c r="F10" s="99" t="n">
        <x:f>'Assumptions'!$B$33*'Assumptions'!$E$7</x:f>
        <x:v>0.28</x:v>
      </x:c>
      <x:c r="G10" s="99" t="n">
        <x:f>'Assumptions'!$B$33*'Assumptions'!$E$7</x:f>
        <x:v>0.28</x:v>
      </x:c>
      <x:c r="H10" s="99" t="n">
        <x:f>'Assumptions'!$B$33*'Assumptions'!$E$7</x:f>
        <x:v>0.28</x:v>
      </x:c>
      <x:c r="I10" s="99" t="n">
        <x:f>'Assumptions'!$B$33*'Assumptions'!$E$7</x:f>
        <x:v>0.28</x:v>
      </x:c>
    </x:row>
    <x:row r="11">
      <x:c r="A11" s="103" t="str">
        <x:v>Gross operating savings</x:v>
      </x:c>
      <x:c r="B11" s="103" t="n">
        <x:f>B8*(B9+B10)*B7</x:f>
        <x:v>1987200.0000000002</x:v>
      </x:c>
      <x:c r="C11" s="103" t="n">
        <x:f>C8*(C9+C10)*C7</x:f>
        <x:v>2899656.0000000005</x:v>
      </x:c>
      <x:c r="D11" s="103" t="n">
        <x:f>D8*(D9+D10)*D7</x:f>
        <x:v>3513700.8000000003</x:v>
      </x:c>
      <x:c r="E11" s="103" t="n">
        <x:f>E8*(E9+E10)*E7</x:f>
        <x:v>3619111.824</x:v>
      </x:c>
      <x:c r="F11" s="103" t="n">
        <x:f>F8*(F9+F10)*F7</x:f>
        <x:v>3727685.1787200007</x:v>
      </x:c>
      <x:c r="G11" s="103" t="n">
        <x:f>G8*(G9+G10)*G7</x:f>
        <x:v>3839515.7340816003</x:v>
      </x:c>
      <x:c r="H11" s="103" t="n">
        <x:f>H8*(H9+H10)*H7</x:f>
        <x:v>3954701.206104049</x:v>
      </x:c>
      <x:c r="I11" s="103" t="n">
        <x:f>I8*(I9+I10)*I7</x:f>
        <x:v>4073342.24228717</x:v>
      </x:c>
    </x:row>
    <x:row r="12">
      <x:c r="A12" s="27"/>
      <x:c r="B12" s="87"/>
      <x:c r="C12" s="87"/>
      <x:c r="D12" s="87"/>
      <x:c r="E12" s="87"/>
      <x:c r="F12" s="87"/>
      <x:c r="G12" s="87"/>
      <x:c r="H12" s="87"/>
      <x:c r="I12" s="87"/>
    </x:row>
    <x:row r="13">
      <x:c r="A13" s="27" t="str">
        <x:v>Maintenance</x:v>
      </x:c>
      <x:c r="B13" s="87" t="n">
        <x:f>'Assumptions'!$B$34*'Assumptions'!$E$10*(1+2%)^(B$5-1)</x:f>
        <x:v>600000</x:v>
      </x:c>
      <x:c r="C13" s="87" t="n">
        <x:f>'Assumptions'!$B$34*'Assumptions'!$E$10*(1+2%)^(C$5-1)</x:f>
        <x:v>612000</x:v>
      </x:c>
      <x:c r="D13" s="87" t="n">
        <x:f>'Assumptions'!$B$34*'Assumptions'!$E$10*(1+2%)^(D$5-1)</x:f>
        <x:v>624240</x:v>
      </x:c>
      <x:c r="E13" s="87" t="n">
        <x:f>'Assumptions'!$B$34*'Assumptions'!$E$10*(1+2%)^(E$5-1)</x:f>
        <x:v>636724.8</x:v>
      </x:c>
      <x:c r="F13" s="87" t="n">
        <x:f>'Assumptions'!$B$34*'Assumptions'!$E$10*(1+2%)^(F$5-1)</x:f>
        <x:v>649459.296</x:v>
      </x:c>
      <x:c r="G13" s="87" t="n">
        <x:f>'Assumptions'!$B$34*'Assumptions'!$E$10*(1+2%)^(G$5-1)</x:f>
        <x:v>662448.48192</x:v>
      </x:c>
      <x:c r="H13" s="87" t="n">
        <x:f>'Assumptions'!$B$34*'Assumptions'!$E$10*(1+2%)^(H$5-1)</x:f>
        <x:v>675697.4515584001</x:v>
      </x:c>
      <x:c r="I13" s="87" t="n">
        <x:f>'Assumptions'!$B$34*'Assumptions'!$E$10*(1+2%)^(I$5-1)</x:f>
        <x:v>689211.4005895681</x:v>
      </x:c>
    </x:row>
    <x:row r="14">
      <x:c r="A14" s="27" t="str">
        <x:v>Software</x:v>
      </x:c>
      <x:c r="B14" s="87" t="n">
        <x:f>'Assumptions'!$B$35*'Assumptions'!$E$10*(1+2%)^(B$5-1)</x:f>
        <x:v>180000</x:v>
      </x:c>
      <x:c r="C14" s="87" t="n">
        <x:f>'Assumptions'!$B$35*'Assumptions'!$E$10*(1+2%)^(C$5-1)</x:f>
        <x:v>183600</x:v>
      </x:c>
      <x:c r="D14" s="87" t="n">
        <x:f>'Assumptions'!$B$35*'Assumptions'!$E$10*(1+2%)^(D$5-1)</x:f>
        <x:v>187272</x:v>
      </x:c>
      <x:c r="E14" s="87" t="n">
        <x:f>'Assumptions'!$B$35*'Assumptions'!$E$10*(1+2%)^(E$5-1)</x:f>
        <x:v>191017.44000000003</x:v>
      </x:c>
      <x:c r="F14" s="87" t="n">
        <x:f>'Assumptions'!$B$35*'Assumptions'!$E$10*(1+2%)^(F$5-1)</x:f>
        <x:v>194837.7888</x:v>
      </x:c>
      <x:c r="G14" s="87" t="n">
        <x:f>'Assumptions'!$B$35*'Assumptions'!$E$10*(1+2%)^(G$5-1)</x:f>
        <x:v>198734.54457600001</x:v>
      </x:c>
      <x:c r="H14" s="87" t="n">
        <x:f>'Assumptions'!$B$35*'Assumptions'!$E$10*(1+2%)^(H$5-1)</x:f>
        <x:v>202709.23546752002</x:v>
      </x:c>
      <x:c r="I14" s="87" t="n">
        <x:f>'Assumptions'!$B$35*'Assumptions'!$E$10*(1+2%)^(I$5-1)</x:f>
        <x:v>206763.4201768704</x:v>
      </x:c>
    </x:row>
    <x:row r="15">
      <x:c r="A15" s="27" t="str">
        <x:v>Utilities</x:v>
      </x:c>
      <x:c r="B15" s="87" t="n">
        <x:f>'Assumptions'!$B$36*'Assumptions'!$E$10*(1+2%)^(B$5-1)</x:f>
        <x:v>220000</x:v>
      </x:c>
      <x:c r="C15" s="87" t="n">
        <x:f>'Assumptions'!$B$36*'Assumptions'!$E$10*(1+2%)^(C$5-1)</x:f>
        <x:v>224400</x:v>
      </x:c>
      <x:c r="D15" s="87" t="n">
        <x:f>'Assumptions'!$B$36*'Assumptions'!$E$10*(1+2%)^(D$5-1)</x:f>
        <x:v>228888</x:v>
      </x:c>
      <x:c r="E15" s="87" t="n">
        <x:f>'Assumptions'!$B$36*'Assumptions'!$E$10*(1+2%)^(E$5-1)</x:f>
        <x:v>233465.76000000004</x:v>
      </x:c>
      <x:c r="F15" s="87" t="n">
        <x:f>'Assumptions'!$B$36*'Assumptions'!$E$10*(1+2%)^(F$5-1)</x:f>
        <x:v>238135.0752</x:v>
      </x:c>
      <x:c r="G15" s="87" t="n">
        <x:f>'Assumptions'!$B$36*'Assumptions'!$E$10*(1+2%)^(G$5-1)</x:f>
        <x:v>242897.77670400002</x:v>
      </x:c>
      <x:c r="H15" s="87" t="n">
        <x:f>'Assumptions'!$B$36*'Assumptions'!$E$10*(1+2%)^(H$5-1)</x:f>
        <x:v>247755.73223808</x:v>
      </x:c>
      <x:c r="I15" s="87" t="n">
        <x:f>'Assumptions'!$B$36*'Assumptions'!$E$10*(1+2%)^(I$5-1)</x:f>
        <x:v>252710.8468828416</x:v>
      </x:c>
    </x:row>
    <x:row r="16">
      <x:c r="A16" s="27" t="str">
        <x:v>Training</x:v>
      </x:c>
      <x:c r="B16" s="87" t="n">
        <x:f>'Assumptions'!$B$37*'Assumptions'!$E$10*(1+2%)^(B$5-1)</x:f>
        <x:v>80000</x:v>
      </x:c>
      <x:c r="C16" s="87" t="n">
        <x:f>'Assumptions'!$B$37*'Assumptions'!$E$10*(1+2%)^(C$5-1)</x:f>
        <x:v>81600</x:v>
      </x:c>
      <x:c r="D16" s="87" t="n">
        <x:f>'Assumptions'!$B$37*'Assumptions'!$E$10*(1+2%)^(D$5-1)</x:f>
        <x:v>83232</x:v>
      </x:c>
      <x:c r="E16" s="87" t="n">
        <x:f>'Assumptions'!$B$37*'Assumptions'!$E$10*(1+2%)^(E$5-1)</x:f>
        <x:v>84896.64000000001</x:v>
      </x:c>
      <x:c r="F16" s="87" t="n">
        <x:f>'Assumptions'!$B$37*'Assumptions'!$E$10*(1+2%)^(F$5-1)</x:f>
        <x:v>86594.5728</x:v>
      </x:c>
      <x:c r="G16" s="87" t="n">
        <x:f>'Assumptions'!$B$37*'Assumptions'!$E$10*(1+2%)^(G$5-1)</x:f>
        <x:v>88326.464256</x:v>
      </x:c>
      <x:c r="H16" s="87" t="n">
        <x:f>'Assumptions'!$B$37*'Assumptions'!$E$10*(1+2%)^(H$5-1)</x:f>
        <x:v>90092.99354112</x:v>
      </x:c>
      <x:c r="I16" s="87" t="n">
        <x:f>'Assumptions'!$B$37*'Assumptions'!$E$10*(1+2%)^(I$5-1)</x:f>
        <x:v>91894.8534119424</x:v>
      </x:c>
    </x:row>
    <x:row r="17">
      <x:c r="A17" s="103" t="str">
        <x:v>Total incremental opex</x:v>
      </x:c>
      <x:c r="B17" s="103" t="n">
        <x:f>SUM(B13:B16)</x:f>
        <x:v>1080000</x:v>
      </x:c>
      <x:c r="C17" s="103" t="n">
        <x:f>SUM(C13:C16)</x:f>
        <x:v>1101600</x:v>
      </x:c>
      <x:c r="D17" s="103" t="n">
        <x:f>SUM(D13:D16)</x:f>
        <x:v>1123632</x:v>
      </x:c>
      <x:c r="E17" s="103" t="n">
        <x:f>SUM(E13:E16)</x:f>
        <x:v>1146104.6400000001</x:v>
      </x:c>
      <x:c r="F17" s="103" t="n">
        <x:f>SUM(F13:F16)</x:f>
        <x:v>1169026.7327999999</x:v>
      </x:c>
      <x:c r="G17" s="103" t="n">
        <x:f>SUM(G13:G16)</x:f>
        <x:v>1192407.2674560002</x:v>
      </x:c>
      <x:c r="H17" s="103" t="n">
        <x:f>SUM(H13:H16)</x:f>
        <x:v>1216255.41280512</x:v>
      </x:c>
      <x:c r="I17" s="103" t="n">
        <x:f>SUM(I13:I16)</x:f>
        <x:v>1240580.5210612225</x:v>
      </x:c>
    </x:row>
    <x:row r="18">
      <x:c r="A18" s="27"/>
      <x:c r="B18" s="87"/>
      <x:c r="C18" s="87"/>
      <x:c r="D18" s="87"/>
      <x:c r="E18" s="87"/>
      <x:c r="F18" s="87"/>
      <x:c r="G18" s="87"/>
      <x:c r="H18" s="87"/>
      <x:c r="I18" s="87"/>
    </x:row>
    <x:row r="19">
      <x:c r="A19" s="107" t="str">
        <x:v>EBITDA benefit</x:v>
      </x:c>
      <x:c r="B19" s="107" t="n">
        <x:f>B11-B17</x:f>
        <x:v>907200.0000000002</x:v>
      </x:c>
      <x:c r="C19" s="107" t="n">
        <x:f>C11-C17</x:f>
        <x:v>1798056.0000000005</x:v>
      </x:c>
      <x:c r="D19" s="107" t="n">
        <x:f>D11-D17</x:f>
        <x:v>2390068.8000000003</x:v>
      </x:c>
      <x:c r="E19" s="107" t="n">
        <x:f>E11-E17</x:f>
        <x:v>2473007.184</x:v>
      </x:c>
      <x:c r="F19" s="107" t="n">
        <x:f>F11-F17</x:f>
        <x:v>2558658.445920001</x:v>
      </x:c>
      <x:c r="G19" s="107" t="n">
        <x:f>G11-G17</x:f>
        <x:v>2647108.4666256</x:v>
      </x:c>
      <x:c r="H19" s="107" t="n">
        <x:f>H11-H17</x:f>
        <x:v>2738445.793298929</x:v>
      </x:c>
      <x:c r="I19" s="107" t="n">
        <x:f>I11-I17</x:f>
        <x:v>2832761.7212259476</x:v>
      </x:c>
    </x:row>
    <x:row r="20">
      <x:c r="A20" s="27" t="str">
        <x:v>Depreciation</x:v>
      </x:c>
      <x:c r="B20" s="87" t="n">
        <x:f>'Capex_Schedule'!$D$12*(1-'Assumptions'!$B$16)/'Assumptions'!$B$26</x:f>
        <x:v>757625</x:v>
      </x:c>
      <x:c r="C20" s="87" t="n">
        <x:f>'Capex_Schedule'!$D$12*(1-'Assumptions'!$B$16)/'Assumptions'!$B$26</x:f>
        <x:v>757625</x:v>
      </x:c>
      <x:c r="D20" s="87" t="n">
        <x:f>'Capex_Schedule'!$D$12*(1-'Assumptions'!$B$16)/'Assumptions'!$B$26</x:f>
        <x:v>757625</x:v>
      </x:c>
      <x:c r="E20" s="87" t="n">
        <x:f>'Capex_Schedule'!$D$12*(1-'Assumptions'!$B$16)/'Assumptions'!$B$26</x:f>
        <x:v>757625</x:v>
      </x:c>
      <x:c r="F20" s="87" t="n">
        <x:f>'Capex_Schedule'!$D$12*(1-'Assumptions'!$B$16)/'Assumptions'!$B$26</x:f>
        <x:v>757625</x:v>
      </x:c>
      <x:c r="G20" s="87" t="n">
        <x:f>'Capex_Schedule'!$D$12*(1-'Assumptions'!$B$16)/'Assumptions'!$B$26</x:f>
        <x:v>757625</x:v>
      </x:c>
      <x:c r="H20" s="87" t="n">
        <x:f>'Capex_Schedule'!$D$12*(1-'Assumptions'!$B$16)/'Assumptions'!$B$26</x:f>
        <x:v>757625</x:v>
      </x:c>
      <x:c r="I20" s="87" t="n">
        <x:f>'Capex_Schedule'!$D$12*(1-'Assumptions'!$B$16)/'Assumptions'!$B$26</x:f>
        <x:v>757625</x:v>
      </x:c>
    </x:row>
    <x:row r="21">
      <x:c r="A21" s="27" t="str">
        <x:v>EBIT</x:v>
      </x:c>
      <x:c r="B21" s="87" t="n">
        <x:f>B19-B20</x:f>
        <x:v>149575.00000000023</x:v>
      </x:c>
      <x:c r="C21" s="87" t="n">
        <x:f>C19-C20</x:f>
        <x:v>1040431.0000000005</x:v>
      </x:c>
      <x:c r="D21" s="87" t="n">
        <x:f>D19-D20</x:f>
        <x:v>1632443.8000000003</x:v>
      </x:c>
      <x:c r="E21" s="87" t="n">
        <x:f>E19-E20</x:f>
        <x:v>1715382.184</x:v>
      </x:c>
      <x:c r="F21" s="87" t="n">
        <x:f>F19-F20</x:f>
        <x:v>1801033.4459200008</x:v>
      </x:c>
      <x:c r="G21" s="87" t="n">
        <x:f>G19-G20</x:f>
        <x:v>1889483.4666256001</x:v>
      </x:c>
      <x:c r="H21" s="87" t="n">
        <x:f>H19-H20</x:f>
        <x:v>1980820.793298929</x:v>
      </x:c>
      <x:c r="I21" s="87" t="n">
        <x:f>I19-I20</x:f>
        <x:v>2075136.7212259476</x:v>
      </x:c>
    </x:row>
    <x:row r="22">
      <x:c r="A22" s="27" t="str">
        <x:v>Cash tax</x:v>
      </x:c>
      <x:c r="B22" s="87" t="n">
        <x:f>MAX(0,B21*'Assumptions'!$B$10)</x:f>
        <x:v>29915.000000000047</x:v>
      </x:c>
      <x:c r="C22" s="87" t="n">
        <x:f>MAX(0,C21*'Assumptions'!$B$10)</x:f>
        <x:v>208086.2000000001</x:v>
      </x:c>
      <x:c r="D22" s="87" t="n">
        <x:f>MAX(0,D21*'Assumptions'!$B$10)</x:f>
        <x:v>326488.76000000007</x:v>
      </x:c>
      <x:c r="E22" s="87" t="n">
        <x:f>MAX(0,E21*'Assumptions'!$B$10)</x:f>
        <x:v>343076.4368</x:v>
      </x:c>
      <x:c r="F22" s="87" t="n">
        <x:f>MAX(0,F21*'Assumptions'!$B$10)</x:f>
        <x:v>360206.6891840002</x:v>
      </x:c>
      <x:c r="G22" s="87" t="n">
        <x:f>MAX(0,G21*'Assumptions'!$B$10)</x:f>
        <x:v>377896.69332512</x:v>
      </x:c>
      <x:c r="H22" s="87" t="n">
        <x:f>MAX(0,H21*'Assumptions'!$B$10)</x:f>
        <x:v>396164.1586597858</x:v>
      </x:c>
      <x:c r="I22" s="87" t="n">
        <x:f>MAX(0,I21*'Assumptions'!$B$10)</x:f>
        <x:v>415027.34424518957</x:v>
      </x:c>
    </x:row>
    <x:row r="23">
      <x:c r="A23" s="103" t="str">
        <x:v>NOPAT</x:v>
      </x:c>
      <x:c r="B23" s="103" t="n">
        <x:f>B21-B22</x:f>
        <x:v>119660.00000000019</x:v>
      </x:c>
      <x:c r="C23" s="103" t="n">
        <x:f>C21-C22</x:f>
        <x:v>832344.8000000004</x:v>
      </x:c>
      <x:c r="D23" s="103" t="n">
        <x:f>D21-D22</x:f>
        <x:v>1305955.0400000003</x:v>
      </x:c>
      <x:c r="E23" s="103" t="n">
        <x:f>E21-E22</x:f>
        <x:v>1372305.7471999999</x:v>
      </x:c>
      <x:c r="F23" s="103" t="n">
        <x:f>F21-F22</x:f>
        <x:v>1440826.7567360005</x:v>
      </x:c>
      <x:c r="G23" s="103" t="n">
        <x:f>G21-G22</x:f>
        <x:v>1511586.77330048</x:v>
      </x:c>
      <x:c r="H23" s="103" t="n">
        <x:f>H21-H22</x:f>
        <x:v>1584656.6346391432</x:v>
      </x:c>
      <x:c r="I23" s="103" t="n">
        <x:f>I21-I22</x:f>
        <x:v>1660109.376980758</x:v>
      </x:c>
    </x:row>
  </x:sheetData>
  <x:mergeCells>
    <x:mergeCell ref="A1:I2"/>
    <x:mergeCell ref="A3:I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9"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PROJECT FREE CASH FLOW</x:v>
      </x:c>
      <x:c r="B1" s="3"/>
      <x:c r="C1" s="3"/>
      <x:c r="D1" s="3"/>
      <x:c r="E1" s="3"/>
      <x:c r="F1" s="3"/>
      <x:c r="G1" s="3"/>
      <x:c r="H1" s="3"/>
      <x:c r="I1" s="3"/>
      <x:c r="J1" s="3"/>
    </x:row>
    <x:row r="2">
      <x:c r="A2" s="3"/>
      <x:c r="B2" s="3"/>
      <x:c r="C2" s="3"/>
      <x:c r="D2" s="3"/>
      <x:c r="E2" s="3"/>
      <x:c r="F2" s="3"/>
      <x:c r="G2" s="3"/>
      <x:c r="H2" s="3"/>
      <x:c r="I2" s="3"/>
      <x:c r="J2" s="3"/>
    </x:row>
    <x:row r="3">
      <x:c r="A3" s="6" t="str">
        <x:v>Unlevered incremental cash flow and discounted value</x:v>
      </x:c>
      <x:c r="B3" s="6"/>
      <x:c r="C3" s="6"/>
      <x:c r="D3" s="6"/>
      <x:c r="E3" s="6"/>
      <x:c r="F3" s="6"/>
      <x:c r="G3" s="6"/>
      <x:c r="H3" s="6"/>
      <x:c r="I3" s="6"/>
      <x:c r="J3" s="6"/>
    </x:row>
    <x:row r="5">
      <x:c r="A5" s="18" t="str">
        <x:v>Year</x:v>
      </x:c>
      <x:c r="B5" s="19" t="n">
        <x:v>0</x:v>
      </x:c>
      <x:c r="C5" s="19" t="n">
        <x:v>1</x:v>
      </x:c>
      <x:c r="D5" s="19" t="n">
        <x:v>2</x:v>
      </x:c>
      <x:c r="E5" s="19" t="n">
        <x:v>3</x:v>
      </x:c>
      <x:c r="F5" s="19" t="n">
        <x:v>4</x:v>
      </x:c>
      <x:c r="G5" s="19" t="n">
        <x:v>5</x:v>
      </x:c>
      <x:c r="H5" s="19" t="n">
        <x:v>6</x:v>
      </x:c>
      <x:c r="I5" s="19" t="n">
        <x:v>7</x:v>
      </x:c>
      <x:c r="J5" s="20" t="n">
        <x:v>8</x:v>
      </x:c>
    </x:row>
    <x:row r="7">
      <x:c r="A7" s="26" t="str">
        <x:v>Installed capex</x:v>
      </x:c>
      <x:c r="B7" s="86" t="n">
        <x:f>'Capex_Schedule'!F12</x:f>
        <x:v>-6380000</x:v>
      </x:c>
      <x:c r="C7" s="86" t="n">
        <x:v>0</x:v>
      </x:c>
      <x:c r="D7" s="86" t="n">
        <x:v>0</x:v>
      </x:c>
      <x:c r="E7" s="86" t="n">
        <x:v>0</x:v>
      </x:c>
      <x:c r="F7" s="86" t="n">
        <x:v>0</x:v>
      </x:c>
      <x:c r="G7" s="86" t="n">
        <x:v>0</x:v>
      </x:c>
      <x:c r="H7" s="86" t="n">
        <x:v>0</x:v>
      </x:c>
      <x:c r="I7" s="86" t="n">
        <x:v>0</x:v>
      </x:c>
      <x:c r="J7" s="86" t="n">
        <x:v>0</x:v>
      </x:c>
    </x:row>
    <x:row r="8">
      <x:c r="A8" s="27" t="str">
        <x:v>Initial working capital</x:v>
      </x:c>
      <x:c r="B8" s="87" t="n">
        <x:f>-'Assumptions'!B15</x:f>
        <x:v>-250000</x:v>
      </x:c>
      <x:c r="C8" s="87" t="n">
        <x:v>0</x:v>
      </x:c>
      <x:c r="D8" s="87" t="n">
        <x:v>0</x:v>
      </x:c>
      <x:c r="E8" s="87" t="n">
        <x:v>0</x:v>
      </x:c>
      <x:c r="F8" s="87" t="n">
        <x:v>0</x:v>
      </x:c>
      <x:c r="G8" s="87" t="n">
        <x:v>0</x:v>
      </x:c>
      <x:c r="H8" s="87" t="n">
        <x:v>0</x:v>
      </x:c>
      <x:c r="I8" s="87" t="n">
        <x:v>0</x:v>
      </x:c>
      <x:c r="J8" s="87" t="n">
        <x:v>0</x:v>
      </x:c>
    </x:row>
    <x:row r="9">
      <x:c r="A9" s="27" t="str">
        <x:v>EBITDA benefit</x:v>
      </x:c>
      <x:c r="B9" s="87" t="n">
        <x:v>0</x:v>
      </x:c>
      <x:c r="C9" s="87" t="n">
        <x:f>'Operating_Case'!B19</x:f>
        <x:v>907200.0000000002</x:v>
      </x:c>
      <x:c r="D9" s="87" t="n">
        <x:f>'Operating_Case'!C19</x:f>
        <x:v>1798056.0000000005</x:v>
      </x:c>
      <x:c r="E9" s="87" t="n">
        <x:f>'Operating_Case'!D19</x:f>
        <x:v>2390068.8000000003</x:v>
      </x:c>
      <x:c r="F9" s="87" t="n">
        <x:f>'Operating_Case'!E19</x:f>
        <x:v>2473007.184</x:v>
      </x:c>
      <x:c r="G9" s="87" t="n">
        <x:f>'Operating_Case'!F19</x:f>
        <x:v>2558658.445920001</x:v>
      </x:c>
      <x:c r="H9" s="87" t="n">
        <x:f>'Operating_Case'!G19</x:f>
        <x:v>2647108.4666256</x:v>
      </x:c>
      <x:c r="I9" s="87" t="n">
        <x:f>'Operating_Case'!H19</x:f>
        <x:v>2738445.793298929</x:v>
      </x:c>
      <x:c r="J9" s="87" t="n">
        <x:f>'Operating_Case'!I19</x:f>
        <x:v>2832761.7212259476</x:v>
      </x:c>
    </x:row>
    <x:row r="10">
      <x:c r="A10" s="27" t="str">
        <x:v>Cash tax</x:v>
      </x:c>
      <x:c r="B10" s="87" t="n">
        <x:v>0</x:v>
      </x:c>
      <x:c r="C10" s="87" t="n">
        <x:f>-'Operating_Case'!B22</x:f>
        <x:v>-29915.000000000047</x:v>
      </x:c>
      <x:c r="D10" s="87" t="n">
        <x:f>-'Operating_Case'!C22</x:f>
        <x:v>-208086.2000000001</x:v>
      </x:c>
      <x:c r="E10" s="87" t="n">
        <x:f>-'Operating_Case'!D22</x:f>
        <x:v>-326488.76000000007</x:v>
      </x:c>
      <x:c r="F10" s="87" t="n">
        <x:f>-'Operating_Case'!E22</x:f>
        <x:v>-343076.4368</x:v>
      </x:c>
      <x:c r="G10" s="87" t="n">
        <x:f>-'Operating_Case'!F22</x:f>
        <x:v>-360206.6891840002</x:v>
      </x:c>
      <x:c r="H10" s="87" t="n">
        <x:f>-'Operating_Case'!G22</x:f>
        <x:v>-377896.69332512</x:v>
      </x:c>
      <x:c r="I10" s="87" t="n">
        <x:f>-'Operating_Case'!H22</x:f>
        <x:v>-396164.1586597858</x:v>
      </x:c>
      <x:c r="J10" s="87" t="n">
        <x:f>-'Operating_Case'!I22</x:f>
        <x:v>-415027.34424518957</x:v>
      </x:c>
    </x:row>
    <x:row r="11">
      <x:c r="A11" s="27" t="str">
        <x:v>Maintenance capex</x:v>
      </x:c>
      <x:c r="B11" s="87" t="n">
        <x:v>0</x:v>
      </x:c>
      <x:c r="C11" s="87" t="n">
        <x:f>0</x:f>
        <x:v>0</x:v>
      </x:c>
      <x:c r="D11" s="87" t="n">
        <x:f>0</x:f>
        <x:v>0</x:v>
      </x:c>
      <x:c r="E11" s="87" t="n">
        <x:f>-'Capex_Schedule'!$D$12*'Assumptions'!$B$17</x:f>
        <x:v>-127600</x:v>
      </x:c>
      <x:c r="F11" s="87" t="n">
        <x:f>-'Capex_Schedule'!$D$12*'Assumptions'!$B$17</x:f>
        <x:v>-127600</x:v>
      </x:c>
      <x:c r="G11" s="87" t="n">
        <x:f>-'Capex_Schedule'!$D$12*'Assumptions'!$B$17</x:f>
        <x:v>-127600</x:v>
      </x:c>
      <x:c r="H11" s="87" t="n">
        <x:f>-'Capex_Schedule'!$D$12*'Assumptions'!$B$17</x:f>
        <x:v>-127600</x:v>
      </x:c>
      <x:c r="I11" s="87" t="n">
        <x:f>-'Capex_Schedule'!$D$12*'Assumptions'!$B$17</x:f>
        <x:v>-127600</x:v>
      </x:c>
      <x:c r="J11" s="87" t="n">
        <x:f>-'Capex_Schedule'!$D$12*'Assumptions'!$B$17</x:f>
        <x:v>-127600</x:v>
      </x:c>
    </x:row>
    <x:row r="12">
      <x:c r="A12" s="27" t="str">
        <x:v>Working capital + residual value recovery</x:v>
      </x:c>
      <x:c r="B12" s="87" t="n">
        <x:v>0</x:v>
      </x:c>
      <x:c r="C12" s="87" t="n">
        <x:f>0</x:f>
        <x:v>0</x:v>
      </x:c>
      <x:c r="D12" s="87" t="n">
        <x:f>0</x:f>
        <x:v>0</x:v>
      </x:c>
      <x:c r="E12" s="87" t="n">
        <x:f>0</x:f>
        <x:v>0</x:v>
      </x:c>
      <x:c r="F12" s="87" t="n">
        <x:f>0</x:f>
        <x:v>0</x:v>
      </x:c>
      <x:c r="G12" s="87" t="n">
        <x:f>0</x:f>
        <x:v>0</x:v>
      </x:c>
      <x:c r="H12" s="87" t="n">
        <x:f>0</x:f>
        <x:v>0</x:v>
      </x:c>
      <x:c r="I12" s="87" t="n">
        <x:f>0</x:f>
        <x:v>0</x:v>
      </x:c>
      <x:c r="J12" s="87" t="n">
        <x:f>'Assumptions'!$B$15+'Capex_Schedule'!$D$12*'Assumptions'!$B$16</x:f>
        <x:v>569000</x:v>
      </x:c>
    </x:row>
    <x:row r="13">
      <x:c r="A13" s="117" t="str">
        <x:v>NET FREE CASH FLOW</x:v>
      </x:c>
      <x:c r="B13" s="117" t="n">
        <x:f>SUM(B7:B12)</x:f>
        <x:v>-6630000</x:v>
      </x:c>
      <x:c r="C13" s="117" t="n">
        <x:f>SUM(C7:C12)</x:f>
        <x:v>877285.0000000002</x:v>
      </x:c>
      <x:c r="D13" s="117" t="n">
        <x:f>SUM(D7:D12)</x:f>
        <x:v>1589969.8000000003</x:v>
      </x:c>
      <x:c r="E13" s="117" t="n">
        <x:f>SUM(E7:E12)</x:f>
        <x:v>1935980.0400000003</x:v>
      </x:c>
      <x:c r="F13" s="117" t="n">
        <x:f>SUM(F7:F12)</x:f>
        <x:v>2002330.7472</x:v>
      </x:c>
      <x:c r="G13" s="117" t="n">
        <x:f>SUM(G7:G12)</x:f>
        <x:v>2070851.7567360005</x:v>
      </x:c>
      <x:c r="H13" s="117" t="n">
        <x:f>SUM(H7:H12)</x:f>
        <x:v>2141611.77330048</x:v>
      </x:c>
      <x:c r="I13" s="117" t="n">
        <x:f>SUM(I7:I12)</x:f>
        <x:v>2214681.634639143</x:v>
      </x:c>
      <x:c r="J13" s="117" t="n">
        <x:f>SUM(J7:J12)</x:f>
        <x:v>2859134.3769807583</x:v>
      </x:c>
    </x:row>
    <x:row r="14">
      <x:c r="A14" s="27" t="str">
        <x:v>Discount factor</x:v>
      </x:c>
      <x:c r="B14" s="113" t="n">
        <x:v>1</x:v>
      </x:c>
      <x:c r="C14" s="113" t="n">
        <x:f>1/(1+'Assumptions'!$B$11)^C$5</x:f>
        <x:v>0.9009009009009008</x:v>
      </x:c>
      <x:c r="D14" s="113" t="n">
        <x:f>1/(1+'Assumptions'!$B$11)^D$5</x:f>
        <x:v>0.8116224332440547</x:v>
      </x:c>
      <x:c r="E14" s="113" t="n">
        <x:f>1/(1+'Assumptions'!$B$11)^E$5</x:f>
        <x:v>0.7311913813009502</x:v>
      </x:c>
      <x:c r="F14" s="113" t="n">
        <x:f>1/(1+'Assumptions'!$B$11)^F$5</x:f>
        <x:v>0.6587309741450001</x:v>
      </x:c>
      <x:c r="G14" s="113" t="n">
        <x:f>1/(1+'Assumptions'!$B$11)^G$5</x:f>
        <x:v>0.5934513280585586</x:v>
      </x:c>
      <x:c r="H14" s="113" t="n">
        <x:f>1/(1+'Assumptions'!$B$11)^H$5</x:f>
        <x:v>0.5346408360887914</x:v>
      </x:c>
      <x:c r="I14" s="113" t="n">
        <x:f>1/(1+'Assumptions'!$B$11)^I$5</x:f>
        <x:v>0.4816584108908031</x:v>
      </x:c>
      <x:c r="J14" s="113" t="n">
        <x:f>1/(1+'Assumptions'!$B$11)^J$5</x:f>
        <x:v>0.43392649629802077</x:v>
      </x:c>
    </x:row>
    <x:row r="15">
      <x:c r="A15" s="27" t="str">
        <x:v>PV of free cash flow</x:v>
      </x:c>
      <x:c r="B15" s="87" t="n">
        <x:f>B13*B14</x:f>
        <x:v>-6630000</x:v>
      </x:c>
      <x:c r="C15" s="87" t="n">
        <x:f>C13*C14</x:f>
        <x:v>790346.846846847</x:v>
      </x:c>
      <x:c r="D15" s="87" t="n">
        <x:f>D13*D14</x:f>
        <x:v>1290455.1578605631</x:v>
      </x:c>
      <x:c r="E15" s="87" t="n">
        <x:f>E13*E14</x:f>
        <x:v>1415571.919618669</x:v>
      </x:c>
      <x:c r="F15" s="87" t="n">
        <x:f>F13*F14</x:f>
        <x:v>1318997.283663542</x:v>
      </x:c>
      <x:c r="G15" s="87" t="n">
        <x:f>G13*G14</x:f>
        <x:v>1228949.7252473787</x:v>
      </x:c>
      <x:c r="H15" s="87" t="n">
        <x:f>H13*H14</x:f>
        <x:v>1144993.109054968</x:v>
      </x:c>
      <x:c r="I15" s="87" t="n">
        <x:f>I13*I14</x:f>
        <x:v>1066720.0367693359</x:v>
      </x:c>
      <x:c r="J15" s="87" t="n">
        <x:f>J13*J14</x:f>
        <x:v>1240654.1626484848</x:v>
      </x:c>
    </x:row>
    <x:row r="16">
      <x:c r="A16" s="123" t="str">
        <x:v>Cumulative cash flow</x:v>
      </x:c>
      <x:c r="B16" s="123" t="n">
        <x:f>B13</x:f>
        <x:v>-6630000</x:v>
      </x:c>
      <x:c r="C16" s="123" t="n">
        <x:f>B16+C13</x:f>
        <x:v>-5752715</x:v>
      </x:c>
      <x:c r="D16" s="123" t="n">
        <x:f>C16+D13</x:f>
        <x:v>-4162745.1999999997</x:v>
      </x:c>
      <x:c r="E16" s="123" t="n">
        <x:f>D16+E13</x:f>
        <x:v>-2226765.159999999</x:v>
      </x:c>
      <x:c r="F16" s="123" t="n">
        <x:f>E16+F13</x:f>
        <x:v>-224434.41279999912</x:v>
      </x:c>
      <x:c r="G16" s="123" t="n">
        <x:f>F16+G13</x:f>
        <x:v>1846417.3439360014</x:v>
      </x:c>
      <x:c r="H16" s="123" t="n">
        <x:f>G16+H13</x:f>
        <x:v>3988029.1172364815</x:v>
      </x:c>
      <x:c r="I16" s="123" t="n">
        <x:f>H16+I13</x:f>
        <x:v>6202710.751875624</x:v>
      </x:c>
      <x:c r="J16" s="123" t="n">
        <x:f>I16+J13</x:f>
        <x:v>9061845.128856383</x:v>
      </x:c>
    </x:row>
    <x:row r="17">
      <x:c r="A17" s="125" t="str">
        <x:v>Cumulative PV</x:v>
      </x:c>
      <x:c r="B17" s="125" t="n">
        <x:f>B15</x:f>
        <x:v>-6630000</x:v>
      </x:c>
      <x:c r="C17" s="125" t="n">
        <x:f>B17+C15</x:f>
        <x:v>-5839653.153153153</x:v>
      </x:c>
      <x:c r="D17" s="125" t="n">
        <x:f>C17+D15</x:f>
        <x:v>-4549197.99529259</x:v>
      </x:c>
      <x:c r="E17" s="125" t="n">
        <x:f>D17+E15</x:f>
        <x:v>-3133626.075673921</x:v>
      </x:c>
      <x:c r="F17" s="125" t="n">
        <x:f>E17+F15</x:f>
        <x:v>-1814628.792010379</x:v>
      </x:c>
      <x:c r="G17" s="125" t="n">
        <x:f>F17+G15</x:f>
        <x:v>-585679.0667630003</x:v>
      </x:c>
      <x:c r="H17" s="125" t="n">
        <x:f>G17+H15</x:f>
        <x:v>559314.0422919677</x:v>
      </x:c>
      <x:c r="I17" s="125" t="n">
        <x:f>H17+I15</x:f>
        <x:v>1626034.0790613035</x:v>
      </x:c>
      <x:c r="J17" s="125" t="n">
        <x:f>I17+J15</x:f>
        <x:v>2866688.2417097883</x:v>
      </x:c>
    </x:row>
  </x:sheetData>
  <x:mergeCells>
    <x:mergeCell ref="A1:J2"/>
    <x:mergeCell ref="A3:J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7" hidden="0" customWidth="1"/>
    <x:col min="2" max="2" width="22" hidden="0" customWidth="1"/>
    <x:col min="3" max="3" width="5" hidden="0" customWidth="1"/>
    <x:col min="4" max="4" width="5" hidden="0" customWidth="1"/>
    <x:col min="5" max="5" width="17" hidden="0" customWidth="1"/>
    <x:col min="6" max="6" width="19" hidden="0" customWidth="1"/>
    <x:col min="7" max="7" width="19" hidden="0" customWidth="1"/>
    <x:col min="8" max="8" width="24" hidden="0" customWidth="1"/>
    <x:col min="9" max="9" width="12" hidden="0" customWidth="1"/>
    <x:col min="10" max="10" width="12" hidden="0" customWidth="1"/>
  </x:cols>
  <x:sheetData>
    <x:row r="1">
      <x:c r="A1" s="3" t="str">
        <x:v>INVESTMENT RETURNS</x:v>
      </x:c>
      <x:c r="B1" s="3"/>
      <x:c r="C1" s="3"/>
      <x:c r="D1" s="3"/>
      <x:c r="E1" s="3"/>
      <x:c r="F1" s="3"/>
      <x:c r="G1" s="3"/>
      <x:c r="H1" s="3"/>
      <x:c r="I1" s="3"/>
      <x:c r="J1" s="3"/>
    </x:row>
    <x:row r="2">
      <x:c r="A2" s="3"/>
      <x:c r="B2" s="3"/>
      <x:c r="C2" s="3"/>
      <x:c r="D2" s="3"/>
      <x:c r="E2" s="3"/>
      <x:c r="F2" s="3"/>
      <x:c r="G2" s="3"/>
      <x:c r="H2" s="3"/>
      <x:c r="I2" s="3"/>
      <x:c r="J2" s="3"/>
    </x:row>
    <x:row r="3">
      <x:c r="A3" s="6" t="str">
        <x:v>Decision metrics, scenario comparison, and cumulative recovery</x:v>
      </x:c>
      <x:c r="B3" s="6"/>
      <x:c r="C3" s="6"/>
      <x:c r="D3" s="6"/>
      <x:c r="E3" s="6"/>
      <x:c r="F3" s="6"/>
      <x:c r="G3" s="6"/>
      <x:c r="H3" s="6"/>
      <x:c r="I3" s="6"/>
      <x:c r="J3" s="6"/>
    </x:row>
    <x:row r="5">
      <x:c r="A5" s="129" t="str">
        <x:f>"SELECTED CASE: "&amp;'Assumptions'!B6</x:f>
        <x:v>SELECTED CASE: Base</x:v>
      </x:c>
      <x:c r="B5" s="129"/>
      <x:c r="C5" s="129"/>
      <x:c r="D5" s="129"/>
    </x:row>
    <x:row r="7">
      <x:c r="A7" s="18" t="str">
        <x:v>Metric</x:v>
      </x:c>
      <x:c r="B7" s="20" t="str">
        <x:v>Selected output</x:v>
      </x:c>
      <x:c r="E7" s="39" t="str">
        <x:v>SCENARIO COMPARISON</x:v>
      </x:c>
      <x:c r="F7" s="39"/>
      <x:c r="G7" s="39"/>
      <x:c r="H7" s="39"/>
      <x:c r="I7" s="39"/>
      <x:c r="J7" s="39"/>
    </x:row>
    <x:row r="8">
      <x:c r="A8" s="26" t="str">
        <x:v>NPV</x:v>
      </x:c>
      <x:c r="B8" s="131" t="n">
        <x:f>NPV('Assumptions'!B11,'Cash_Flow'!C13:J13)+'Cash_Flow'!B13</x:f>
        <x:v>2866688.2417097893</x:v>
      </x:c>
      <x:c r="E8" s="18" t="str">
        <x:v>Scenario</x:v>
      </x:c>
      <x:c r="F8" s="19" t="str">
        <x:v>NPV</x:v>
      </x:c>
      <x:c r="G8" s="19" t="str">
        <x:v>IRR</x:v>
      </x:c>
      <x:c r="H8" s="20" t="str">
        <x:v>Decision</x:v>
      </x:c>
    </x:row>
    <x:row r="9">
      <x:c r="A9" s="27" t="str">
        <x:v>IRR</x:v>
      </x:c>
      <x:c r="B9" s="132" t="n">
        <x:f>IRR('Cash_Flow'!B13:J13)</x:f>
        <x:v>0.20532275771146952</x:v>
      </x:c>
      <x:c r="E9" s="26" t="str">
        <x:v>Downside</x:v>
      </x:c>
      <x:c r="F9" s="86" t="n">
        <x:f>'Scenarios'!B28</x:f>
        <x:v>-4642598.41673687</x:v>
      </x:c>
      <x:c r="G9" s="49" t="n">
        <x:f>'Scenarios'!B29</x:f>
        <x:v>-0.05484754853649619</x:v>
      </x:c>
      <x:c r="H9" s="46" t="str">
        <x:f>'Scenarios'!B31</x:f>
        <x:v>REJECT / REDESIGN</x:v>
      </x:c>
    </x:row>
    <x:row r="10">
      <x:c r="A10" s="27" t="str">
        <x:v>Payback</x:v>
      </x:c>
      <x:c r="B10" s="133" t="n">
        <x:f>INDEX('Scenarios'!$B$30:$D$30,1,MATCH('Assumptions'!$B$6,'Scenarios'!$B$27:$D$27,0))</x:f>
        <x:v>4.891622173306241</x:v>
      </x:c>
      <x:c r="E10" s="27" t="str">
        <x:v>Base</x:v>
      </x:c>
      <x:c r="F10" s="87" t="n">
        <x:f>'Scenarios'!C28</x:f>
        <x:v>2866688.2417097883</x:v>
      </x:c>
      <x:c r="G10" s="50" t="n">
        <x:f>'Scenarios'!C29</x:f>
        <x:v>0.20532275771145153</x:v>
      </x:c>
      <x:c r="H10" s="47" t="str">
        <x:f>'Scenarios'!C31</x:f>
        <x:v>APPROVE WITH CONDITIONS</x:v>
      </x:c>
    </x:row>
    <x:row r="11">
      <x:c r="A11" s="27" t="str">
        <x:v>Profitability index</x:v>
      </x:c>
      <x:c r="B11" s="134" t="n">
        <x:f>SUM('Cash_Flow'!C15:J15)/ABS('Cash_Flow'!B13)</x:f>
        <x:v>1.4323813335912199</x:v>
      </x:c>
      <x:c r="E11" s="28" t="str">
        <x:v>Upside</x:v>
      </x:c>
      <x:c r="F11" s="88" t="n">
        <x:f>'Scenarios'!D28</x:f>
        <x:v>8630255.420861755</x:v>
      </x:c>
      <x:c r="G11" s="51" t="n">
        <x:f>'Scenarios'!D29</x:f>
        <x:v>0.3895362932596948</x:v>
      </x:c>
      <x:c r="H11" s="48" t="str">
        <x:f>'Scenarios'!D31</x:f>
        <x:v>APPROVE WITH CONDITIONS</x:v>
      </x:c>
    </x:row>
    <x:row r="12">
      <x:c r="A12" s="27" t="str">
        <x:v>Total installed cost</x:v>
      </x:c>
      <x:c r="B12" s="135" t="n">
        <x:f>'Capex_Schedule'!D12</x:f>
        <x:v>6380000</x:v>
      </x:c>
    </x:row>
    <x:row r="13">
      <x:c r="A13" s="28" t="str">
        <x:v>Decision</x:v>
      </x:c>
      <x:c r="B13" s="136" t="str">
        <x:f>IF(AND(B8&gt;0,B9&gt;='Assumptions'!B12,B10&lt;='Assumptions'!B13,B12&lt;='Assumptions'!B14,'Capex_Schedule'!D18="PASS"),"APPROVE",IF(AND(B8&gt;0,B9&gt;='Assumptions'!B12,B10&lt;='Assumptions'!B13,B12&lt;='Assumptions'!B14),"APPROVE WITH CONDITIONS","REJECT / REDESIGN"))</x:f>
        <x:v>APPROVE WITH CONDITIONS</x:v>
      </x:c>
    </x:row>
    <x:row r="14">
      <x:c r="E14" s="18" t="str">
        <x:v>Year</x:v>
      </x:c>
      <x:c r="F14" s="20" t="str">
        <x:v>Cumulative cash flow</x:v>
      </x:c>
    </x:row>
    <x:row r="15">
      <x:c r="E15" s="26" t="n">
        <x:v>0</x:v>
      </x:c>
      <x:c r="F15" s="86" t="n">
        <x:f>'Cash_Flow'!B16</x:f>
        <x:v>-6630000</x:v>
      </x:c>
    </x:row>
    <x:row r="16">
      <x:c r="E16" s="27" t="n">
        <x:v>1</x:v>
      </x:c>
      <x:c r="F16" s="87" t="n">
        <x:f>'Cash_Flow'!C16</x:f>
        <x:v>-5752715</x:v>
      </x:c>
    </x:row>
    <x:row r="17">
      <x:c r="E17" s="27" t="n">
        <x:v>2</x:v>
      </x:c>
      <x:c r="F17" s="87" t="n">
        <x:f>'Cash_Flow'!D16</x:f>
        <x:v>-4162745.1999999997</x:v>
      </x:c>
    </x:row>
    <x:row r="18">
      <x:c r="E18" s="27" t="n">
        <x:v>3</x:v>
      </x:c>
      <x:c r="F18" s="87" t="n">
        <x:f>'Cash_Flow'!E16</x:f>
        <x:v>-2226765.159999999</x:v>
      </x:c>
    </x:row>
    <x:row r="19">
      <x:c r="E19" s="27" t="n">
        <x:v>4</x:v>
      </x:c>
      <x:c r="F19" s="87" t="n">
        <x:f>'Cash_Flow'!F16</x:f>
        <x:v>-224434.41279999912</x:v>
      </x:c>
    </x:row>
    <x:row r="20">
      <x:c r="E20" s="27" t="n">
        <x:v>5</x:v>
      </x:c>
      <x:c r="F20" s="87" t="n">
        <x:f>'Cash_Flow'!G16</x:f>
        <x:v>1846417.3439360014</x:v>
      </x:c>
    </x:row>
    <x:row r="21">
      <x:c r="E21" s="27" t="n">
        <x:v>6</x:v>
      </x:c>
      <x:c r="F21" s="87" t="n">
        <x:f>'Cash_Flow'!H16</x:f>
        <x:v>3988029.1172364815</x:v>
      </x:c>
    </x:row>
    <x:row r="22">
      <x:c r="E22" s="27" t="n">
        <x:v>7</x:v>
      </x:c>
      <x:c r="F22" s="87" t="n">
        <x:f>'Cash_Flow'!I16</x:f>
        <x:v>6202710.751875624</x:v>
      </x:c>
    </x:row>
    <x:row r="23">
      <x:c r="E23" s="28" t="n">
        <x:v>8</x:v>
      </x:c>
      <x:c r="F23" s="88" t="n">
        <x:f>'Cash_Flow'!J16</x:f>
        <x:v>9061845.128856383</x:v>
      </x:c>
    </x:row>
  </x:sheetData>
  <x:mergeCells>
    <x:mergeCell ref="A1:J2"/>
    <x:mergeCell ref="A3:J3"/>
    <x:mergeCell ref="A5:D5"/>
    <x:mergeCell ref="E7:J7"/>
  </x:mergeCells>
  <x:pageMargins left="0.7" right="0.7" top="0.75" bottom="0.75" header="0.3" footer="0.3"/>
  <x:drawing xmlns:r="http://schemas.openxmlformats.org/officeDocument/2006/relationships" r:id="R4e5b2544579245bb"/>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18" hidden="0" customWidth="1"/>
    <x:col min="5" max="5" width="18" hidden="0" customWidth="1"/>
    <x:col min="6" max="6" width="18" hidden="0" customWidth="1"/>
    <x:col min="7" max="7" width="15" hidden="0" customWidth="1"/>
    <x:col min="8" max="8" width="15" hidden="0" customWidth="1"/>
    <x:col min="9" max="9" width="15" hidden="0" customWidth="1"/>
  </x:cols>
  <x:sheetData>
    <x:row r="1">
      <x:c r="A1" s="3" t="str">
        <x:v>NPV SENSITIVITY</x:v>
      </x:c>
      <x:c r="B1" s="3"/>
      <x:c r="C1" s="3"/>
      <x:c r="D1" s="3"/>
      <x:c r="E1" s="3"/>
      <x:c r="F1" s="3"/>
      <x:c r="G1" s="3"/>
      <x:c r="H1" s="3"/>
      <x:c r="I1" s="3"/>
    </x:row>
    <x:row r="2">
      <x:c r="A2" s="3"/>
      <x:c r="B2" s="3"/>
      <x:c r="C2" s="3"/>
      <x:c r="D2" s="3"/>
      <x:c r="E2" s="3"/>
      <x:c r="F2" s="3"/>
      <x:c r="G2" s="3"/>
      <x:c r="H2" s="3"/>
      <x:c r="I2" s="3"/>
    </x:row>
    <x:row r="3">
      <x:c r="A3" s="6" t="str">
        <x:v>Base operating case · Savings realization versus discount rate</x:v>
      </x:c>
      <x:c r="B3" s="6"/>
      <x:c r="C3" s="6"/>
      <x:c r="D3" s="6"/>
      <x:c r="E3" s="6"/>
      <x:c r="F3" s="6"/>
      <x:c r="G3" s="6"/>
      <x:c r="H3" s="6"/>
      <x:c r="I3" s="6"/>
    </x:row>
    <x:row r="6">
      <x:c r="A6" s="18" t="str">
        <x:v>Savings factor / WACC</x:v>
      </x:c>
      <x:c r="B6" s="137" t="n">
        <x:v>0.09</x:v>
      </x:c>
      <x:c r="C6" s="137" t="n">
        <x:v>0.1</x:v>
      </x:c>
      <x:c r="D6" s="137" t="n">
        <x:v>0.11</x:v>
      </x:c>
      <x:c r="E6" s="137" t="n">
        <x:v>0.12</x:v>
      </x:c>
      <x:c r="F6" s="138" t="n">
        <x:v>0.13</x:v>
      </x:c>
    </x:row>
    <x:row r="7">
      <x:c r="A7" s="139" t="n">
        <x:v>0.8</x:v>
      </x:c>
      <x:c r="B7" s="80" t="n">
        <x:f>NPV(B$6,$B20:$I20)-'Capex_Schedule'!$D$12-'Assumptions'!$B$15</x:f>
        <x:v>696655.9195823846</x:v>
      </x:c>
      <x:c r="C7" s="80" t="n">
        <x:f>NPV(C$6,$B20:$I20)-'Capex_Schedule'!$D$12-'Assumptions'!$B$15</x:f>
        <x:v>387442.1811491344</x:v>
      </x:c>
      <x:c r="D7" s="80" t="n">
        <x:f>NPV(D$6,$B20:$I20)-'Capex_Schedule'!$D$12-'Assumptions'!$B$15</x:f>
        <x:v>96553.83728640154</x:v>
      </x:c>
      <x:c r="E7" s="80" t="n">
        <x:f>NPV(E$6,$B20:$I20)-'Capex_Schedule'!$D$12-'Assumptions'!$B$15</x:f>
        <x:v>-177331.0987839019</x:v>
      </x:c>
      <x:c r="F7" s="80" t="n">
        <x:f>NPV(F$6,$B20:$I20)-'Capex_Schedule'!$D$12-'Assumptions'!$B$15</x:f>
        <x:v>-435424.8365465477</x:v>
      </x:c>
    </x:row>
    <x:row r="8">
      <x:c r="A8" s="139" t="n">
        <x:v>0.9</x:v>
      </x:c>
      <x:c r="B8" s="81" t="n">
        <x:f>NPV(B$6,$B21:$I21)-'Capex_Schedule'!$D$12-'Assumptions'!$B$15</x:f>
        <x:v>2209961.581865642</x:v>
      </x:c>
      <x:c r="C8" s="81" t="n">
        <x:f>NPV(C$6,$B21:$I21)-'Capex_Schedule'!$D$12-'Assumptions'!$B$15</x:f>
        <x:v>1841676.2788335327</x:v>
      </x:c>
      <x:c r="D8" s="81" t="n">
        <x:f>NPV(D$6,$B21:$I21)-'Capex_Schedule'!$D$12-'Assumptions'!$B$15</x:f>
        <x:v>1495096.2647233214</x:v>
      </x:c>
      <x:c r="E8" s="81" t="n">
        <x:f>NPV(E$6,$B21:$I21)-'Capex_Schedule'!$D$12-'Assumptions'!$B$15</x:f>
        <x:v>1168661.414280612</x:v>
      </x:c>
      <x:c r="F8" s="81" t="n">
        <x:f>NPV(F$6,$B21:$I21)-'Capex_Schedule'!$D$12-'Assumptions'!$B$15</x:f>
        <x:v>860940.7989939172</x:v>
      </x:c>
    </x:row>
    <x:row r="9">
      <x:c r="A9" s="139" t="n">
        <x:v>1</x:v>
      </x:c>
      <x:c r="B9" s="81" t="n">
        <x:f>NPV(B$6,$B22:$I22)-'Capex_Schedule'!$D$12-'Assumptions'!$B$15</x:f>
        <x:v>3695822.2900204603</x:v>
      </x:c>
      <x:c r="C9" s="81" t="n">
        <x:f>NPV(C$6,$B22:$I22)-'Capex_Schedule'!$D$12-'Assumptions'!$B$15</x:f>
        <x:v>3268714.921972478</x:v>
      </x:c>
      <x:c r="D9" s="81" t="n">
        <x:f>NPV(D$6,$B22:$I22)-'Capex_Schedule'!$D$12-'Assumptions'!$B$15</x:f>
        <x:v>2866688.2417097893</x:v>
      </x:c>
      <x:c r="E9" s="81" t="n">
        <x:f>NPV(E$6,$B22:$I22)-'Capex_Schedule'!$D$12-'Assumptions'!$B$15</x:f>
        <x:v>2487944.1059165522</x:v>
      </x:c>
      <x:c r="F9" s="81" t="n">
        <x:f>NPV(F$6,$B22:$I22)-'Capex_Schedule'!$D$12-'Assumptions'!$B$15</x:f>
        <x:v>2130832.9832069483</x:v>
      </x:c>
    </x:row>
    <x:row r="10">
      <x:c r="A10" s="139" t="n">
        <x:v>1.1</x:v>
      </x:c>
      <x:c r="B10" s="81" t="n">
        <x:f>NPV(B$6,$B23:$I23)-'Capex_Schedule'!$D$12-'Assumptions'!$B$15</x:f>
        <x:v>5172665.566982619</x:v>
      </x:c>
      <x:c r="C10" s="81" t="n">
        <x:f>NPV(C$6,$B23:$I23)-'Capex_Schedule'!$D$12-'Assumptions'!$B$15</x:f>
        <x:v>4686818.110565972</x:v>
      </x:c>
      <x:c r="D10" s="81" t="n">
        <x:f>NPV(D$6,$B23:$I23)-'Capex_Schedule'!$D$12-'Assumptions'!$B$15</x:f>
        <x:v>4229425.263741303</x:v>
      </x:c>
      <x:c r="E10" s="81" t="n">
        <x:f>NPV(E$6,$B23:$I23)-'Capex_Schedule'!$D$12-'Assumptions'!$B$15</x:f>
        <x:v>3798450.9046953544</x:v>
      </x:c>
      <x:c r="F10" s="81" t="n">
        <x:f>NPV(F$6,$B23:$I23)-'Capex_Schedule'!$D$12-'Assumptions'!$B$15</x:f>
        <x:v>3392026.9373314865</x:v>
      </x:c>
    </x:row>
    <x:row r="11">
      <x:c r="A11" s="139" t="n">
        <x:v>1.2</x:v>
      </x:c>
      <x:c r="B11" s="82" t="n">
        <x:f>NPV(B$6,$B24:$I24)-'Capex_Schedule'!$D$12-'Assumptions'!$B$15</x:f>
        <x:v>6649508.843944775</x:v>
      </x:c>
      <x:c r="C11" s="82" t="n">
        <x:f>NPV(C$6,$B24:$I24)-'Capex_Schedule'!$D$12-'Assumptions'!$B$15</x:f>
        <x:v>6104921.299159456</x:v>
      </x:c>
      <x:c r="D11" s="82" t="n">
        <x:f>NPV(D$6,$B24:$I24)-'Capex_Schedule'!$D$12-'Assumptions'!$B$15</x:f>
        <x:v>5592162.285772815</x:v>
      </x:c>
      <x:c r="E11" s="82" t="n">
        <x:f>NPV(E$6,$B24:$I24)-'Capex_Schedule'!$D$12-'Assumptions'!$B$15</x:f>
        <x:v>5108957.703474153</x:v>
      </x:c>
      <x:c r="F11" s="82" t="n">
        <x:f>NPV(F$6,$B24:$I24)-'Capex_Schedule'!$D$12-'Assumptions'!$B$15</x:f>
        <x:v>4653220.891456019</x:v>
      </x:c>
    </x:row>
    <x:row r="13">
      <x:c r="A13" s="71" t="str">
        <x:v>Interpretation
The Base case is sensitive to benefit realization. The committee should approve measurement owners and stop-loss triggers with the capital release—not treat forecast savings as guaranteed.</x:v>
      </x:c>
      <x:c r="B13" s="72"/>
      <x:c r="C13" s="72"/>
      <x:c r="D13" s="72"/>
      <x:c r="E13" s="72"/>
      <x:c r="F13" s="73"/>
    </x:row>
    <x:row r="14">
      <x:c r="A14" s="74"/>
      <x:c r="B14" s="75"/>
      <x:c r="C14" s="75"/>
      <x:c r="D14" s="75"/>
      <x:c r="E14" s="75"/>
      <x:c r="F14" s="76"/>
    </x:row>
    <x:row r="15">
      <x:c r="A15" s="77"/>
      <x:c r="B15" s="78"/>
      <x:c r="C15" s="78"/>
      <x:c r="D15" s="78"/>
      <x:c r="E15" s="78"/>
      <x:c r="F15" s="79"/>
    </x:row>
    <x:row r="18">
      <x:c r="A18" s="39" t="str">
        <x:v>FORMULA-BACKED SENSITIVITY CASH FLOWS</x:v>
      </x:c>
      <x:c r="B18" s="39"/>
      <x:c r="C18" s="39"/>
      <x:c r="D18" s="39"/>
      <x:c r="E18" s="39"/>
      <x:c r="F18" s="39"/>
      <x:c r="G18" s="39"/>
      <x:c r="H18" s="39"/>
      <x:c r="I18" s="39"/>
    </x:row>
    <x:row r="19">
      <x:c r="A19" s="18" t="str">
        <x:v>Savings factor</x:v>
      </x:c>
      <x:c r="B19" s="19" t="n">
        <x:v>1</x:v>
      </x:c>
      <x:c r="C19" s="19" t="n">
        <x:v>2</x:v>
      </x:c>
      <x:c r="D19" s="19" t="n">
        <x:v>3</x:v>
      </x:c>
      <x:c r="E19" s="19" t="n">
        <x:v>4</x:v>
      </x:c>
      <x:c r="F19" s="19" t="n">
        <x:v>5</x:v>
      </x:c>
      <x:c r="G19" s="19" t="n">
        <x:v>6</x:v>
      </x:c>
      <x:c r="H19" s="19" t="n">
        <x:v>7</x:v>
      </x:c>
      <x:c r="I19" s="20" t="n">
        <x:v>8</x:v>
      </x:c>
    </x:row>
    <x:row r="20">
      <x:c r="A20" s="49" t="n">
        <x:f>A7</x:f>
        <x:v>0.8</x:v>
      </x:c>
      <x:c r="B20" s="86" t="n">
        <x:f>('Operating_Case'!B11*$A20-'Operating_Case'!B17)-MAX(0,(('Operating_Case'!B11*$A20-'Operating_Case'!B17)-'Operating_Case'!B20)*'Assumptions'!$B$10)-0+0</x:f>
        <x:v>509760.00000000023</x:v>
      </x:c>
      <x:c r="C20" s="86" t="n">
        <x:f>('Operating_Case'!C11*$A20-'Operating_Case'!C17)-MAX(0,(('Operating_Case'!C11*$A20-'Operating_Case'!C17)-'Operating_Case'!C20)*'Assumptions'!$B$10)-0+0</x:f>
        <x:v>1126024.8400000003</x:v>
      </x:c>
      <x:c r="D20" s="86" t="n">
        <x:f>('Operating_Case'!D11*$A20-'Operating_Case'!D17)-MAX(0,(('Operating_Case'!D11*$A20-'Operating_Case'!D17)-'Operating_Case'!D20)*'Assumptions'!$B$10)-'Capex_Schedule'!$D$12*'Assumptions'!$B$17+0</x:f>
        <x:v>1373787.9120000005</x:v>
      </x:c>
      <x:c r="E20" s="86" t="n">
        <x:f>('Operating_Case'!E11*$A20-'Operating_Case'!E17)-MAX(0,(('Operating_Case'!E11*$A20-'Operating_Case'!E17)-'Operating_Case'!E20)*'Assumptions'!$B$10)-'Capex_Schedule'!$D$12*'Assumptions'!$B$17+0</x:f>
        <x:v>1423272.8553600002</x:v>
      </x:c>
      <x:c r="F20" s="86" t="n">
        <x:f>('Operating_Case'!F11*$A20-'Operating_Case'!F17)-MAX(0,(('Operating_Case'!F11*$A20-'Operating_Case'!F17)-'Operating_Case'!F20)*'Assumptions'!$B$10)-'Capex_Schedule'!$D$12*'Assumptions'!$B$17+0</x:f>
        <x:v>1474422.1281408009</x:v>
      </x:c>
      <x:c r="G20" s="86" t="n">
        <x:f>('Operating_Case'!G11*$A20-'Operating_Case'!G17)-MAX(0,(('Operating_Case'!G11*$A20-'Operating_Case'!G17)-'Operating_Case'!G20)*'Assumptions'!$B$10)-'Capex_Schedule'!$D$12*'Assumptions'!$B$17+0</x:f>
        <x:v>1527289.2558474243</x:v>
      </x:c>
      <x:c r="H20" s="86" t="n">
        <x:f>('Operating_Case'!H11*$A20-'Operating_Case'!H17)-MAX(0,(('Operating_Case'!H11*$A20-'Operating_Case'!H17)-'Operating_Case'!H20)*'Assumptions'!$B$10)-'Capex_Schedule'!$D$12*'Assumptions'!$B$17+0</x:f>
        <x:v>1581929.4416624955</x:v>
      </x:c>
      <x:c r="I20" s="86" t="n">
        <x:f>('Operating_Case'!I11*$A20-'Operating_Case'!I17)-MAX(0,(('Operating_Case'!I11*$A20-'Operating_Case'!I17)-'Operating_Case'!I20)*'Assumptions'!$B$10)-'Capex_Schedule'!$D$12*'Assumptions'!$B$17+('Assumptions'!$B$15+'Capex_Schedule'!$D$12*'Assumptions'!$B$16)</x:f>
        <x:v>2207399.618214811</x:v>
      </x:c>
    </x:row>
    <x:row r="21">
      <x:c r="A21" s="50" t="n">
        <x:f>A8</x:f>
        <x:v>0.9</x:v>
      </x:c>
      <x:c r="B21" s="87" t="n">
        <x:f>('Operating_Case'!B11*$A21-'Operating_Case'!B17)-MAX(0,(('Operating_Case'!B11*$A21-'Operating_Case'!B17)-'Operating_Case'!B20)*'Assumptions'!$B$10)-0+0</x:f>
        <x:v>708480.0000000002</x:v>
      </x:c>
      <x:c r="C21" s="87" t="n">
        <x:f>('Operating_Case'!C11*$A21-'Operating_Case'!C17)-MAX(0,(('Operating_Case'!C11*$A21-'Operating_Case'!C17)-'Operating_Case'!C20)*'Assumptions'!$B$10)-0+0</x:f>
        <x:v>1357997.3200000003</x:v>
      </x:c>
      <x:c r="D21" s="87" t="n">
        <x:f>('Operating_Case'!D11*$A21-'Operating_Case'!D17)-MAX(0,(('Operating_Case'!D11*$A21-'Operating_Case'!D17)-'Operating_Case'!D20)*'Assumptions'!$B$10)-'Capex_Schedule'!$D$12*'Assumptions'!$B$17+0</x:f>
        <x:v>1654883.9760000003</x:v>
      </x:c>
      <x:c r="E21" s="87" t="n">
        <x:f>('Operating_Case'!E11*$A21-'Operating_Case'!E17)-MAX(0,(('Operating_Case'!E11*$A21-'Operating_Case'!E17)-'Operating_Case'!E20)*'Assumptions'!$B$10)-'Capex_Schedule'!$D$12*'Assumptions'!$B$17+0</x:f>
        <x:v>1712801.80128</x:v>
      </x:c>
      <x:c r="F21" s="87" t="n">
        <x:f>('Operating_Case'!F11*$A21-'Operating_Case'!F17)-MAX(0,(('Operating_Case'!F11*$A21-'Operating_Case'!F17)-'Operating_Case'!F20)*'Assumptions'!$B$10)-'Capex_Schedule'!$D$12*'Assumptions'!$B$17+0</x:f>
        <x:v>1772636.9424384006</x:v>
      </x:c>
      <x:c r="G21" s="87" t="n">
        <x:f>('Operating_Case'!G11*$A21-'Operating_Case'!G17)-MAX(0,(('Operating_Case'!G11*$A21-'Operating_Case'!G17)-'Operating_Case'!G20)*'Assumptions'!$B$10)-'Capex_Schedule'!$D$12*'Assumptions'!$B$17+0</x:f>
        <x:v>1834450.5145739522</x:v>
      </x:c>
      <x:c r="H21" s="87" t="n">
        <x:f>('Operating_Case'!H11*$A21-'Operating_Case'!H17)-MAX(0,(('Operating_Case'!H11*$A21-'Operating_Case'!H17)-'Operating_Case'!H20)*'Assumptions'!$B$10)-'Capex_Schedule'!$D$12*'Assumptions'!$B$17+0</x:f>
        <x:v>1898305.5381508195</x:v>
      </x:c>
      <x:c r="I21" s="87" t="n">
        <x:f>('Operating_Case'!I11*$A21-'Operating_Case'!I17)-MAX(0,(('Operating_Case'!I11*$A21-'Operating_Case'!I17)-'Operating_Case'!I20)*'Assumptions'!$B$10)-'Capex_Schedule'!$D$12*'Assumptions'!$B$17+('Assumptions'!$B$15+'Capex_Schedule'!$D$12*'Assumptions'!$B$16)</x:f>
        <x:v>2533266.9975977847</x:v>
      </x:c>
    </x:row>
    <x:row r="22">
      <x:c r="A22" s="50" t="n">
        <x:f>A9</x:f>
        <x:v>1</x:v>
      </x:c>
      <x:c r="B22" s="87" t="n">
        <x:f>('Operating_Case'!B11*$A22-'Operating_Case'!B17)-MAX(0,(('Operating_Case'!B11*$A22-'Operating_Case'!B17)-'Operating_Case'!B20)*'Assumptions'!$B$10)-0+0</x:f>
        <x:v>877285.0000000002</x:v>
      </x:c>
      <x:c r="C22" s="87" t="n">
        <x:f>('Operating_Case'!C11*$A22-'Operating_Case'!C17)-MAX(0,(('Operating_Case'!C11*$A22-'Operating_Case'!C17)-'Operating_Case'!C20)*'Assumptions'!$B$10)-0+0</x:f>
        <x:v>1589969.8000000003</x:v>
      </x:c>
      <x:c r="D22" s="87" t="n">
        <x:f>('Operating_Case'!D11*$A22-'Operating_Case'!D17)-MAX(0,(('Operating_Case'!D11*$A22-'Operating_Case'!D17)-'Operating_Case'!D20)*'Assumptions'!$B$10)-'Capex_Schedule'!$D$12*'Assumptions'!$B$17+0</x:f>
        <x:v>1935980.0400000003</x:v>
      </x:c>
      <x:c r="E22" s="87" t="n">
        <x:f>('Operating_Case'!E11*$A22-'Operating_Case'!E17)-MAX(0,(('Operating_Case'!E11*$A22-'Operating_Case'!E17)-'Operating_Case'!E20)*'Assumptions'!$B$10)-'Capex_Schedule'!$D$12*'Assumptions'!$B$17+0</x:f>
        <x:v>2002330.7472</x:v>
      </x:c>
      <x:c r="F22" s="87" t="n">
        <x:f>('Operating_Case'!F11*$A22-'Operating_Case'!F17)-MAX(0,(('Operating_Case'!F11*$A22-'Operating_Case'!F17)-'Operating_Case'!F20)*'Assumptions'!$B$10)-'Capex_Schedule'!$D$12*'Assumptions'!$B$17+0</x:f>
        <x:v>2070851.7567360005</x:v>
      </x:c>
      <x:c r="G22" s="87" t="n">
        <x:f>('Operating_Case'!G11*$A22-'Operating_Case'!G17)-MAX(0,(('Operating_Case'!G11*$A22-'Operating_Case'!G17)-'Operating_Case'!G20)*'Assumptions'!$B$10)-'Capex_Schedule'!$D$12*'Assumptions'!$B$17+0</x:f>
        <x:v>2141611.77330048</x:v>
      </x:c>
      <x:c r="H22" s="87" t="n">
        <x:f>('Operating_Case'!H11*$A22-'Operating_Case'!H17)-MAX(0,(('Operating_Case'!H11*$A22-'Operating_Case'!H17)-'Operating_Case'!H20)*'Assumptions'!$B$10)-'Capex_Schedule'!$D$12*'Assumptions'!$B$17+0</x:f>
        <x:v>2214681.634639143</x:v>
      </x:c>
      <x:c r="I22" s="87" t="n">
        <x:f>('Operating_Case'!I11*$A22-'Operating_Case'!I17)-MAX(0,(('Operating_Case'!I11*$A22-'Operating_Case'!I17)-'Operating_Case'!I20)*'Assumptions'!$B$10)-'Capex_Schedule'!$D$12*'Assumptions'!$B$17+('Assumptions'!$B$15+'Capex_Schedule'!$D$12*'Assumptions'!$B$16)</x:f>
        <x:v>2859134.3769807583</x:v>
      </x:c>
    </x:row>
    <x:row r="23">
      <x:c r="A23" s="50" t="n">
        <x:f>A10</x:f>
        <x:v>1.1</x:v>
      </x:c>
      <x:c r="B23" s="87" t="n">
        <x:f>('Operating_Case'!B11*$A23-'Operating_Case'!B17)-MAX(0,(('Operating_Case'!B11*$A23-'Operating_Case'!B17)-'Operating_Case'!B20)*'Assumptions'!$B$10)-0+0</x:f>
        <x:v>1036261.0000000003</x:v>
      </x:c>
      <x:c r="C23" s="87" t="n">
        <x:f>('Operating_Case'!C11*$A23-'Operating_Case'!C17)-MAX(0,(('Operating_Case'!C11*$A23-'Operating_Case'!C17)-'Operating_Case'!C20)*'Assumptions'!$B$10)-0+0</x:f>
        <x:v>1821942.2800000005</x:v>
      </x:c>
      <x:c r="D23" s="87" t="n">
        <x:f>('Operating_Case'!D11*$A23-'Operating_Case'!D17)-MAX(0,(('Operating_Case'!D11*$A23-'Operating_Case'!D17)-'Operating_Case'!D20)*'Assumptions'!$B$10)-'Capex_Schedule'!$D$12*'Assumptions'!$B$17+0</x:f>
        <x:v>2217076.1040000007</x:v>
      </x:c>
      <x:c r="E23" s="87" t="n">
        <x:f>('Operating_Case'!E11*$A23-'Operating_Case'!E17)-MAX(0,(('Operating_Case'!E11*$A23-'Operating_Case'!E17)-'Operating_Case'!E20)*'Assumptions'!$B$10)-'Capex_Schedule'!$D$12*'Assumptions'!$B$17+0</x:f>
        <x:v>2291859.69312</x:v>
      </x:c>
      <x:c r="F23" s="87" t="n">
        <x:f>('Operating_Case'!F11*$A23-'Operating_Case'!F17)-MAX(0,(('Operating_Case'!F11*$A23-'Operating_Case'!F17)-'Operating_Case'!F20)*'Assumptions'!$B$10)-'Capex_Schedule'!$D$12*'Assumptions'!$B$17+0</x:f>
        <x:v>2369066.571033601</x:v>
      </x:c>
      <x:c r="G23" s="87" t="n">
        <x:f>('Operating_Case'!G11*$A23-'Operating_Case'!G17)-MAX(0,(('Operating_Case'!G11*$A23-'Operating_Case'!G17)-'Operating_Case'!G20)*'Assumptions'!$B$10)-'Capex_Schedule'!$D$12*'Assumptions'!$B$17+0</x:f>
        <x:v>2448773.032027009</x:v>
      </x:c>
      <x:c r="H23" s="87" t="n">
        <x:f>('Operating_Case'!H11*$A23-'Operating_Case'!H17)-MAX(0,(('Operating_Case'!H11*$A23-'Operating_Case'!H17)-'Operating_Case'!H20)*'Assumptions'!$B$10)-'Capex_Schedule'!$D$12*'Assumptions'!$B$17+0</x:f>
        <x:v>2531057.7311274675</x:v>
      </x:c>
      <x:c r="I23" s="87" t="n">
        <x:f>('Operating_Case'!I11*$A23-'Operating_Case'!I17)-MAX(0,(('Operating_Case'!I11*$A23-'Operating_Case'!I17)-'Operating_Case'!I20)*'Assumptions'!$B$10)-'Capex_Schedule'!$D$12*'Assumptions'!$B$17+('Assumptions'!$B$15+'Capex_Schedule'!$D$12*'Assumptions'!$B$16)</x:f>
        <x:v>3185001.756363732</x:v>
      </x:c>
    </x:row>
    <x:row r="24">
      <x:c r="A24" s="51" t="n">
        <x:f>A11</x:f>
        <x:v>1.2</x:v>
      </x:c>
      <x:c r="B24" s="88" t="n">
        <x:f>('Operating_Case'!B11*$A24-'Operating_Case'!B17)-MAX(0,(('Operating_Case'!B11*$A24-'Operating_Case'!B17)-'Operating_Case'!B20)*'Assumptions'!$B$10)-0+0</x:f>
        <x:v>1195237</x:v>
      </x:c>
      <x:c r="C24" s="88" t="n">
        <x:f>('Operating_Case'!C11*$A24-'Operating_Case'!C17)-MAX(0,(('Operating_Case'!C11*$A24-'Operating_Case'!C17)-'Operating_Case'!C20)*'Assumptions'!$B$10)-0+0</x:f>
        <x:v>2053914.7600000005</x:v>
      </x:c>
      <x:c r="D24" s="88" t="n">
        <x:f>('Operating_Case'!D11*$A24-'Operating_Case'!D17)-MAX(0,(('Operating_Case'!D11*$A24-'Operating_Case'!D17)-'Operating_Case'!D20)*'Assumptions'!$B$10)-'Capex_Schedule'!$D$12*'Assumptions'!$B$17+0</x:f>
        <x:v>2498172.168</x:v>
      </x:c>
      <x:c r="E24" s="88" t="n">
        <x:f>('Operating_Case'!E11*$A24-'Operating_Case'!E17)-MAX(0,(('Operating_Case'!E11*$A24-'Operating_Case'!E17)-'Operating_Case'!E20)*'Assumptions'!$B$10)-'Capex_Schedule'!$D$12*'Assumptions'!$B$17+0</x:f>
        <x:v>2581388.63904</x:v>
      </x:c>
      <x:c r="F24" s="88" t="n">
        <x:f>('Operating_Case'!F11*$A24-'Operating_Case'!F17)-MAX(0,(('Operating_Case'!F11*$A24-'Operating_Case'!F17)-'Operating_Case'!F20)*'Assumptions'!$B$10)-'Capex_Schedule'!$D$12*'Assumptions'!$B$17+0</x:f>
        <x:v>2667281.3853312004</x:v>
      </x:c>
      <x:c r="G24" s="88" t="n">
        <x:f>('Operating_Case'!G11*$A24-'Operating_Case'!G17)-MAX(0,(('Operating_Case'!G11*$A24-'Operating_Case'!G17)-'Operating_Case'!G20)*'Assumptions'!$B$10)-'Capex_Schedule'!$D$12*'Assumptions'!$B$17+0</x:f>
        <x:v>2755934.2907535364</x:v>
      </x:c>
      <x:c r="H24" s="88" t="n">
        <x:f>('Operating_Case'!H11*$A24-'Operating_Case'!H17)-MAX(0,(('Operating_Case'!H11*$A24-'Operating_Case'!H17)-'Operating_Case'!H20)*'Assumptions'!$B$10)-'Capex_Schedule'!$D$12*'Assumptions'!$B$17+0</x:f>
        <x:v>2847433.827615791</x:v>
      </x:c>
      <x:c r="I24" s="88" t="n">
        <x:f>('Operating_Case'!I11*$A24-'Operating_Case'!I17)-MAX(0,(('Operating_Case'!I11*$A24-'Operating_Case'!I17)-'Operating_Case'!I20)*'Assumptions'!$B$10)-'Capex_Schedule'!$D$12*'Assumptions'!$B$17+('Assumptions'!$B$15+'Capex_Schedule'!$D$12*'Assumptions'!$B$16)</x:f>
        <x:v>3510869.1357467053</x:v>
      </x:c>
    </x:row>
  </x:sheetData>
  <x:mergeCells>
    <x:mergeCell ref="A1:I2"/>
    <x:mergeCell ref="A3:I3"/>
    <x:mergeCell ref="A18:I18"/>
    <x:mergeCell ref="A13:F15"/>
  </x:mergeCells>
  <x:conditionalFormatting sqref="B7:F11">
    <x:cfRule type="colorScale" priority="1">
      <x:colorScale>
        <x:cfvo type="min"/>
        <x:cfvo type="percentile" val="50"/>
        <x:cfvo type="max"/>
        <x:color rgb="FFFFF0ED"/>
        <x:color rgb="FFFFF4C2"/>
        <x:color rgb="FFEAF7F2"/>
      </x:colorScale>
    </x:cfRul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6" hidden="0" customWidth="1"/>
    <x:col min="2" max="2" width="13" hidden="0" customWidth="1"/>
    <x:col min="3" max="3" width="13" hidden="0" customWidth="1"/>
    <x:col min="4" max="4" width="13" hidden="0" customWidth="1"/>
    <x:col min="5" max="5" width="34" hidden="0" customWidth="1"/>
    <x:col min="6" max="6" width="15" hidden="0" customWidth="1"/>
    <x:col min="7" max="7" width="28" hidden="0" customWidth="1"/>
    <x:col min="8" max="8" width="14" hidden="0" customWidth="1"/>
    <x:col min="9" max="9" width="14" hidden="0" customWidth="1"/>
    <x:col min="10" max="10" width="14" hidden="0" customWidth="1"/>
    <x:col min="11" max="11" width="31" hidden="0" customWidth="1"/>
  </x:cols>
  <x:sheetData>
    <x:row r="1">
      <x:c r="A1" s="3" t="str">
        <x:v>INVESTMENT RISK REGISTER</x:v>
      </x:c>
      <x:c r="B1" s="3"/>
      <x:c r="C1" s="3"/>
      <x:c r="D1" s="3"/>
      <x:c r="E1" s="3"/>
      <x:c r="F1" s="3"/>
      <x:c r="G1" s="3"/>
      <x:c r="H1" s="3"/>
      <x:c r="I1" s="3"/>
      <x:c r="J1" s="3"/>
      <x:c r="K1" s="3"/>
    </x:row>
    <x:row r="2">
      <x:c r="A2" s="3"/>
      <x:c r="B2" s="3"/>
      <x:c r="C2" s="3"/>
      <x:c r="D2" s="3"/>
      <x:c r="E2" s="3"/>
      <x:c r="F2" s="3"/>
      <x:c r="G2" s="3"/>
      <x:c r="H2" s="3"/>
      <x:c r="I2" s="3"/>
      <x:c r="J2" s="3"/>
      <x:c r="K2" s="3"/>
    </x:row>
    <x:row r="3">
      <x:c r="A3" s="6" t="str">
        <x:v>Inherent risk, mitigation, residual risk, owner, and investment condition</x:v>
      </x:c>
      <x:c r="B3" s="6"/>
      <x:c r="C3" s="6"/>
      <x:c r="D3" s="6"/>
      <x:c r="E3" s="6"/>
      <x:c r="F3" s="6"/>
      <x:c r="G3" s="6"/>
      <x:c r="H3" s="6"/>
      <x:c r="I3" s="6"/>
      <x:c r="J3" s="6"/>
      <x:c r="K3" s="6"/>
    </x:row>
    <x:row r="5">
      <x:c r="A5" s="18" t="str">
        <x:v>Risk</x:v>
      </x:c>
      <x:c r="B5" s="19" t="str">
        <x:v>Probability</x:v>
      </x:c>
      <x:c r="C5" s="19" t="str">
        <x:v>Impact</x:v>
      </x:c>
      <x:c r="D5" s="19" t="str">
        <x:v>Inherent score</x:v>
      </x:c>
      <x:c r="E5" s="19" t="str">
        <x:v>Mitigation</x:v>
      </x:c>
      <x:c r="F5" s="19" t="str">
        <x:v>Owner</x:v>
      </x:c>
      <x:c r="G5" s="19" t="str">
        <x:v>Trigger</x:v>
      </x:c>
      <x:c r="H5" s="19" t="str">
        <x:v>Residual probability</x:v>
      </x:c>
      <x:c r="I5" s="19" t="str">
        <x:v>Residual impact</x:v>
      </x:c>
      <x:c r="J5" s="19" t="str">
        <x:v>Residual score</x:v>
      </x:c>
      <x:c r="K5" s="20" t="str">
        <x:v>IC condition</x:v>
      </x:c>
    </x:row>
    <x:row r="6">
      <x:c r="A6" s="26" t="str">
        <x:v>Installed-cost overrun</x:v>
      </x:c>
      <x:c r="B6" s="140" t="n">
        <x:v>4</x:v>
      </x:c>
      <x:c r="C6" s="140" t="n">
        <x:v>5</x:v>
      </x:c>
      <x:c r="D6" s="26" t="n">
        <x:f>B6*C6</x:f>
        <x:v>20</x:v>
      </x:c>
      <x:c r="E6" s="26" t="str">
        <x:v>Fixed-price scope; 10% contingency</x:v>
      </x:c>
      <x:c r="F6" s="26" t="str">
        <x:v>CFO</x:v>
      </x:c>
      <x:c r="G6" s="26" t="str">
        <x:v>Quote exceeds approval ceiling</x:v>
      </x:c>
      <x:c r="H6" s="140" t="n">
        <x:v>2</x:v>
      </x:c>
      <x:c r="I6" s="140" t="n">
        <x:v>5</x:v>
      </x:c>
      <x:c r="J6" s="26" t="n">
        <x:f>H6*I6</x:f>
        <x:v>10</x:v>
      </x:c>
      <x:c r="K6" s="26" t="str">
        <x:v>Signed vendor quote before release</x:v>
      </x:c>
    </x:row>
    <x:row r="7">
      <x:c r="A7" s="27" t="str">
        <x:v>Benefit ramp delay</x:v>
      </x:c>
      <x:c r="B7" s="141" t="n">
        <x:v>4</x:v>
      </x:c>
      <x:c r="C7" s="141" t="n">
        <x:v>4</x:v>
      </x:c>
      <x:c r="D7" s="27" t="n">
        <x:f>B7*C7</x:f>
        <x:v>16</x:v>
      </x:c>
      <x:c r="E7" s="27" t="str">
        <x:v>Acceptance test and weekly ramp dashboard</x:v>
      </x:c>
      <x:c r="F7" s="27" t="str">
        <x:v>COO</x:v>
      </x:c>
      <x:c r="G7" s="27" t="str">
        <x:v>Throughput below 70% of plan</x:v>
      </x:c>
      <x:c r="H7" s="141" t="n">
        <x:v>2</x:v>
      </x:c>
      <x:c r="I7" s="141" t="n">
        <x:v>4</x:v>
      </x:c>
      <x:c r="J7" s="27" t="n">
        <x:f>H7*I7</x:f>
        <x:v>8</x:v>
      </x:c>
      <x:c r="K7" s="27" t="str">
        <x:v>Stage-gate final payment</x:v>
      </x:c>
    </x:row>
    <x:row r="8">
      <x:c r="A8" s="27" t="str">
        <x:v>Integration failure</x:v>
      </x:c>
      <x:c r="B8" s="141" t="n">
        <x:v>3</x:v>
      </x:c>
      <x:c r="C8" s="141" t="n">
        <x:v>5</x:v>
      </x:c>
      <x:c r="D8" s="27" t="n">
        <x:f>B8*C8</x:f>
        <x:v>15</x:v>
      </x:c>
      <x:c r="E8" s="27" t="str">
        <x:v>Sandbox test; fallback manual route</x:v>
      </x:c>
      <x:c r="F8" s="27" t="str">
        <x:v>CTO</x:v>
      </x:c>
      <x:c r="G8" s="27" t="str">
        <x:v>Critical interface defect</x:v>
      </x:c>
      <x:c r="H8" s="141" t="n">
        <x:v>2</x:v>
      </x:c>
      <x:c r="I8" s="141" t="n">
        <x:v>4</x:v>
      </x:c>
      <x:c r="J8" s="27" t="n">
        <x:f>H8*I8</x:f>
        <x:v>8</x:v>
      </x:c>
      <x:c r="K8" s="27" t="str">
        <x:v>Go-live readiness sign-off</x:v>
      </x:c>
    </x:row>
    <x:row r="9">
      <x:c r="A9" s="27" t="str">
        <x:v>Workforce savings not realized</x:v>
      </x:c>
      <x:c r="B9" s="141" t="n">
        <x:v>4</x:v>
      </x:c>
      <x:c r="C9" s="141" t="n">
        <x:v>4</x:v>
      </x:c>
      <x:c r="D9" s="27" t="n">
        <x:f>B9*C9</x:f>
        <x:v>16</x:v>
      </x:c>
      <x:c r="E9" s="27" t="str">
        <x:v>Redeployment and hiring-freeze plan</x:v>
      </x:c>
      <x:c r="F9" s="27" t="str">
        <x:v>HR / COO</x:v>
      </x:c>
      <x:c r="G9" s="27" t="str">
        <x:v>Labor hours do not decline</x:v>
      </x:c>
      <x:c r="H9" s="141" t="n">
        <x:v>2</x:v>
      </x:c>
      <x:c r="I9" s="141" t="n">
        <x:v>4</x:v>
      </x:c>
      <x:c r="J9" s="27" t="n">
        <x:f>H9*I9</x:f>
        <x:v>8</x:v>
      </x:c>
      <x:c r="K9" s="27" t="str">
        <x:v>Named benefit owner</x:v>
      </x:c>
    </x:row>
    <x:row r="10">
      <x:c r="A10" s="27" t="str">
        <x:v>Volume shortfall</x:v>
      </x:c>
      <x:c r="B10" s="141" t="n">
        <x:v>3</x:v>
      </x:c>
      <x:c r="C10" s="141" t="n">
        <x:v>4</x:v>
      </x:c>
      <x:c r="D10" s="27" t="n">
        <x:f>B10*C10</x:f>
        <x:v>12</x:v>
      </x:c>
      <x:c r="E10" s="27" t="str">
        <x:v>Capacity release in phases</x:v>
      </x:c>
      <x:c r="F10" s="27" t="str">
        <x:v>Commercial</x:v>
      </x:c>
      <x:c r="G10" s="27" t="str">
        <x:v>Orders below downside threshold</x:v>
      </x:c>
      <x:c r="H10" s="141" t="n">
        <x:v>2</x:v>
      </x:c>
      <x:c r="I10" s="141" t="n">
        <x:v>3</x:v>
      </x:c>
      <x:c r="J10" s="27" t="n">
        <x:f>H10*I10</x:f>
        <x:v>6</x:v>
      </x:c>
      <x:c r="K10" s="27" t="str">
        <x:v>Quarterly demand reforecast</x:v>
      </x:c>
    </x:row>
    <x:row r="11">
      <x:c r="A11" s="27" t="str">
        <x:v>Operational disruption</x:v>
      </x:c>
      <x:c r="B11" s="141" t="n">
        <x:v>3</x:v>
      </x:c>
      <x:c r="C11" s="141" t="n">
        <x:v>5</x:v>
      </x:c>
      <x:c r="D11" s="27" t="n">
        <x:f>B11*C11</x:f>
        <x:v>15</x:v>
      </x:c>
      <x:c r="E11" s="27" t="str">
        <x:v>Parallel run and cutover playbook</x:v>
      </x:c>
      <x:c r="F11" s="27" t="str">
        <x:v>Operations</x:v>
      </x:c>
      <x:c r="G11" s="27" t="str">
        <x:v>Service level below 95%</x:v>
      </x:c>
      <x:c r="H11" s="141" t="n">
        <x:v>2</x:v>
      </x:c>
      <x:c r="I11" s="141" t="n">
        <x:v>4</x:v>
      </x:c>
      <x:c r="J11" s="27" t="n">
        <x:f>H11*I11</x:f>
        <x:v>8</x:v>
      </x:c>
      <x:c r="K11" s="27" t="str">
        <x:v>Recovery plan approved</x:v>
      </x:c>
    </x:row>
    <x:row r="12">
      <x:c r="A12" s="27" t="str">
        <x:v>Vendor concentration</x:v>
      </x:c>
      <x:c r="B12" s="141" t="n">
        <x:v>3</x:v>
      </x:c>
      <x:c r="C12" s="141" t="n">
        <x:v>3</x:v>
      </x:c>
      <x:c r="D12" s="27" t="n">
        <x:f>B12*C12</x:f>
        <x:v>9</x:v>
      </x:c>
      <x:c r="E12" s="27" t="str">
        <x:v>Spares, SLA, step-in rights</x:v>
      </x:c>
      <x:c r="F12" s="27" t="str">
        <x:v>Procurement</x:v>
      </x:c>
      <x:c r="G12" s="27" t="str">
        <x:v>SLA breach</x:v>
      </x:c>
      <x:c r="H12" s="141" t="n">
        <x:v>2</x:v>
      </x:c>
      <x:c r="I12" s="141" t="n">
        <x:v>3</x:v>
      </x:c>
      <x:c r="J12" s="27" t="n">
        <x:f>H12*I12</x:f>
        <x:v>6</x:v>
      </x:c>
      <x:c r="K12" s="27" t="str">
        <x:v>Contract remedies documented</x:v>
      </x:c>
    </x:row>
    <x:row r="13">
      <x:c r="A13" s="28" t="str">
        <x:v>Cyber / data exposure</x:v>
      </x:c>
      <x:c r="B13" s="142" t="n">
        <x:v>2</x:v>
      </x:c>
      <x:c r="C13" s="142" t="n">
        <x:v>5</x:v>
      </x:c>
      <x:c r="D13" s="28" t="n">
        <x:f>B13*C13</x:f>
        <x:v>10</x:v>
      </x:c>
      <x:c r="E13" s="28" t="str">
        <x:v>Security review and least privilege</x:v>
      </x:c>
      <x:c r="F13" s="28" t="str">
        <x:v>Security</x:v>
      </x:c>
      <x:c r="G13" s="28" t="str">
        <x:v>High-severity finding</x:v>
      </x:c>
      <x:c r="H13" s="142" t="n">
        <x:v>1</x:v>
      </x:c>
      <x:c r="I13" s="142" t="n">
        <x:v>5</x:v>
      </x:c>
      <x:c r="J13" s="28" t="n">
        <x:f>H13*I13</x:f>
        <x:v>5</x:v>
      </x:c>
      <x:c r="K13" s="28" t="str">
        <x:v>No critical findings at go-live</x:v>
      </x:c>
    </x:row>
  </x:sheetData>
  <x:mergeCells>
    <x:mergeCell ref="A1:K2"/>
    <x:mergeCell ref="A3:K3"/>
  </x:mergeCells>
  <x:conditionalFormatting sqref="D6:D13">
    <x:cfRule type="colorScale" priority="1">
      <x:colorScale>
        <x:cfvo type="min"/>
        <x:cfvo type="percentile" val="50"/>
        <x:cfvo type="max"/>
        <x:color rgb="FFEAF7F2"/>
        <x:color rgb="FFFFF4C2"/>
        <x:color rgb="FFFFF0ED"/>
      </x:colorScale>
    </x:cfRule>
  </x:conditionalFormatting>
  <x:conditionalFormatting sqref="J6:J13">
    <x:cfRule type="colorScale" priority="2">
      <x:colorScale>
        <x:cfvo type="min"/>
        <x:cfvo type="percentile" val="50"/>
        <x:cfvo type="max"/>
        <x:color rgb="FFEAF7F2"/>
        <x:color rgb="FFFFF4C2"/>
        <x:color rgb="FFFFF0ED"/>
      </x:colorScale>
    </x:cfRule>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17"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x:c r="A1" s="3" t="str">
        <x:v>INVESTMENT COMMITTEE PACK</x:v>
      </x:c>
      <x:c r="B1" s="3"/>
      <x:c r="C1" s="3"/>
      <x:c r="D1" s="3"/>
      <x:c r="E1" s="3"/>
      <x:c r="F1" s="3"/>
      <x:c r="G1" s="3"/>
      <x:c r="H1" s="3"/>
      <x:c r="I1" s="3"/>
      <x:c r="J1" s="3"/>
      <x:c r="K1" s="3"/>
      <x:c r="L1" s="3"/>
      <x:c r="M1" s="3"/>
      <x:c r="N1" s="3"/>
    </x:row>
    <x:row r="2">
      <x:c r="A2" s="3"/>
      <x:c r="B2" s="3"/>
      <x:c r="C2" s="3"/>
      <x:c r="D2" s="3"/>
      <x:c r="E2" s="3"/>
      <x:c r="F2" s="3"/>
      <x:c r="G2" s="3"/>
      <x:c r="H2" s="3"/>
      <x:c r="I2" s="3"/>
      <x:c r="J2" s="3"/>
      <x:c r="K2" s="3"/>
      <x:c r="L2" s="3"/>
      <x:c r="M2" s="3"/>
      <x:c r="N2" s="3"/>
    </x:row>
    <x:row r="3">
      <x:c r="A3" s="6" t="str">
        <x:v>Orion Fulfillment · Automated sortation line · Synthetic decision case</x:v>
      </x:c>
      <x:c r="B3" s="6"/>
      <x:c r="C3" s="6"/>
      <x:c r="D3" s="6"/>
      <x:c r="E3" s="6"/>
      <x:c r="F3" s="6"/>
      <x:c r="G3" s="6"/>
      <x:c r="H3" s="6"/>
      <x:c r="I3" s="6"/>
      <x:c r="J3" s="6"/>
      <x:c r="K3" s="6"/>
      <x:c r="L3" s="6"/>
      <x:c r="M3" s="6"/>
      <x:c r="N3" s="6"/>
    </x:row>
    <x:row r="5">
      <x:c r="A5" s="145" t="str">
        <x:f>IF('Returns'!B13="APPROVE","RECOMMENDATION: APPROVE WITH STAGE GATES",IF('Returns'!B13="APPROVE WITH CONDITIONS","RECOMMENDATION: APPROVE WITH CONDITIONS","RECOMMENDATION: REDESIGN BEFORE APPROVAL"))</x:f>
        <x:v>RECOMMENDATION: APPROVE WITH CONDITIONS</x:v>
      </x:c>
      <x:c r="B5" s="145"/>
      <x:c r="C5" s="145"/>
      <x:c r="D5" s="145"/>
      <x:c r="E5" s="145"/>
      <x:c r="F5" s="145"/>
      <x:c r="G5" s="145"/>
      <x:c r="H5" s="145"/>
      <x:c r="I5" s="145"/>
      <x:c r="J5" s="145"/>
      <x:c r="K5" s="145"/>
      <x:c r="L5" s="145"/>
      <x:c r="M5" s="145"/>
      <x:c r="N5" s="145"/>
    </x:row>
    <x:row r="7">
      <x:c r="A7" s="169" t="str">
        <x:v>BASE NPV</x:v>
      </x:c>
      <x:c r="B7" s="170"/>
      <x:c r="C7" s="171"/>
      <x:c r="E7" s="169" t="str">
        <x:v>BASE IRR</x:v>
      </x:c>
      <x:c r="F7" s="170"/>
      <x:c r="G7" s="171"/>
      <x:c r="I7" s="169" t="str">
        <x:v>PAYBACK</x:v>
      </x:c>
      <x:c r="J7" s="170"/>
      <x:c r="K7" s="171"/>
      <x:c r="M7" s="169"/>
      <x:c r="N7" s="171"/>
    </x:row>
    <x:row r="8">
      <x:c r="A8" s="184" t="n">
        <x:f>'Returns'!B8</x:f>
        <x:v>2866688.2417097893</x:v>
      </x:c>
      <x:c r="B8" s="185"/>
      <x:c r="C8" s="186"/>
      <x:c r="E8" s="202" t="n">
        <x:f>'Returns'!B9</x:f>
        <x:v>0.20532275771146952</x:v>
      </x:c>
      <x:c r="F8" s="203"/>
      <x:c r="G8" s="204"/>
      <x:c r="I8" s="220" t="n">
        <x:f>'Returns'!B10</x:f>
        <x:v>4.891622173306241</x:v>
      </x:c>
      <x:c r="J8" s="221"/>
      <x:c r="K8" s="222"/>
      <x:c r="M8" s="234"/>
      <x:c r="N8" s="235"/>
    </x:row>
    <x:row r="9">
      <x:c r="A9" s="184"/>
      <x:c r="B9" s="185"/>
      <x:c r="C9" s="186"/>
      <x:c r="E9" s="202"/>
      <x:c r="F9" s="203"/>
      <x:c r="G9" s="204"/>
      <x:c r="I9" s="220"/>
      <x:c r="J9" s="221"/>
      <x:c r="K9" s="222"/>
      <x:c r="M9" s="234"/>
      <x:c r="N9" s="235"/>
    </x:row>
    <x:row r="10">
      <x:c r="A10" s="187"/>
      <x:c r="B10" s="188"/>
      <x:c r="C10" s="189"/>
      <x:c r="E10" s="205"/>
      <x:c r="F10" s="206"/>
      <x:c r="G10" s="207"/>
      <x:c r="I10" s="223"/>
      <x:c r="J10" s="224"/>
      <x:c r="K10" s="225"/>
      <x:c r="M10" s="236"/>
      <x:c r="N10" s="237"/>
    </x:row>
    <x:row r="13">
      <x:c r="A13" s="39" t="str">
        <x:v>INVESTMENT THESIS</x:v>
      </x:c>
      <x:c r="B13" s="39"/>
      <x:c r="C13" s="39"/>
      <x:c r="D13" s="39"/>
      <x:c r="E13" s="39"/>
      <x:c r="F13" s="39"/>
      <x:c r="G13" s="39"/>
      <x:c r="I13" s="39" t="str">
        <x:v>SCENARIO RANGE</x:v>
      </x:c>
      <x:c r="J13" s="39"/>
      <x:c r="K13" s="39"/>
      <x:c r="L13" s="39"/>
      <x:c r="M13" s="39"/>
      <x:c r="N13" s="39"/>
    </x:row>
    <x:row r="14">
      <x:c r="A14" s="256" t="str">
        <x:v>Approve the automated sortation line only with commercial and operational stage gates. The Base case creates value above the hurdle rate, but the Downside case does not protect capital if installed cost rises and benefit realization slips. Capital release should be conditional on a fixed-price quote, acceptance testing, workforce action, and monthly benefit tracking.</x:v>
      </x:c>
      <x:c r="B14" s="257"/>
      <x:c r="C14" s="257"/>
      <x:c r="D14" s="257"/>
      <x:c r="E14" s="257"/>
      <x:c r="F14" s="257"/>
      <x:c r="G14" s="258"/>
      <x:c r="I14" s="18" t="str">
        <x:v>Scenario</x:v>
      </x:c>
      <x:c r="J14" s="19" t="str">
        <x:v>NPV</x:v>
      </x:c>
      <x:c r="K14" s="19" t="str">
        <x:v>IRR</x:v>
      </x:c>
      <x:c r="L14" s="20" t="str">
        <x:v>Decision</x:v>
      </x:c>
    </x:row>
    <x:row r="15">
      <x:c r="A15" s="259"/>
      <x:c r="B15" s="260"/>
      <x:c r="C15" s="260"/>
      <x:c r="D15" s="260"/>
      <x:c r="E15" s="260"/>
      <x:c r="F15" s="260"/>
      <x:c r="G15" s="261"/>
      <x:c r="I15" s="26" t="str">
        <x:v>Downside</x:v>
      </x:c>
      <x:c r="J15" s="86" t="n">
        <x:f>'Scenarios'!B28</x:f>
        <x:v>-4642598.41673687</x:v>
      </x:c>
      <x:c r="K15" s="49" t="n">
        <x:f>'Scenarios'!B29</x:f>
        <x:v>-0.05484754853649619</x:v>
      </x:c>
      <x:c r="L15" s="46" t="str">
        <x:f>'Scenarios'!B31</x:f>
        <x:v>REJECT / REDESIGN</x:v>
      </x:c>
    </x:row>
    <x:row r="16">
      <x:c r="A16" s="259"/>
      <x:c r="B16" s="260"/>
      <x:c r="C16" s="260"/>
      <x:c r="D16" s="260"/>
      <x:c r="E16" s="260"/>
      <x:c r="F16" s="260"/>
      <x:c r="G16" s="261"/>
      <x:c r="I16" s="27" t="str">
        <x:v>Base</x:v>
      </x:c>
      <x:c r="J16" s="87" t="n">
        <x:f>'Scenarios'!C28</x:f>
        <x:v>2866688.2417097883</x:v>
      </x:c>
      <x:c r="K16" s="50" t="n">
        <x:f>'Scenarios'!C29</x:f>
        <x:v>0.20532275771145153</x:v>
      </x:c>
      <x:c r="L16" s="47" t="str">
        <x:f>'Scenarios'!C31</x:f>
        <x:v>APPROVE WITH CONDITIONS</x:v>
      </x:c>
    </x:row>
    <x:row r="17">
      <x:c r="A17" s="259"/>
      <x:c r="B17" s="260"/>
      <x:c r="C17" s="260"/>
      <x:c r="D17" s="260"/>
      <x:c r="E17" s="260"/>
      <x:c r="F17" s="260"/>
      <x:c r="G17" s="261"/>
      <x:c r="I17" s="28" t="str">
        <x:v>Upside</x:v>
      </x:c>
      <x:c r="J17" s="88" t="n">
        <x:f>'Scenarios'!D28</x:f>
        <x:v>8630255.420861755</x:v>
      </x:c>
      <x:c r="K17" s="51" t="n">
        <x:f>'Scenarios'!D29</x:f>
        <x:v>0.3895362932596948</x:v>
      </x:c>
      <x:c r="L17" s="48" t="str">
        <x:f>'Scenarios'!D31</x:f>
        <x:v>APPROVE WITH CONDITIONS</x:v>
      </x:c>
    </x:row>
    <x:row r="18">
      <x:c r="A18" s="259"/>
      <x:c r="B18" s="260"/>
      <x:c r="C18" s="260"/>
      <x:c r="D18" s="260"/>
      <x:c r="E18" s="260"/>
      <x:c r="F18" s="260"/>
      <x:c r="G18" s="261"/>
    </x:row>
    <x:row r="19">
      <x:c r="A19" s="262"/>
      <x:c r="B19" s="263"/>
      <x:c r="C19" s="263"/>
      <x:c r="D19" s="263"/>
      <x:c r="E19" s="263"/>
      <x:c r="F19" s="263"/>
      <x:c r="G19" s="264"/>
    </x:row>
    <x:row r="22">
      <x:c r="A22" s="39" t="str">
        <x:v>USE OF FUNDS</x:v>
      </x:c>
      <x:c r="B22" s="39"/>
      <x:c r="C22" s="39"/>
      <x:c r="D22" s="39"/>
      <x:c r="E22" s="39"/>
      <x:c r="F22" s="39"/>
      <x:c r="G22" s="39"/>
      <x:c r="I22" s="39" t="str">
        <x:v>CONDITIONS PRECEDENT</x:v>
      </x:c>
      <x:c r="J22" s="39"/>
      <x:c r="K22" s="39"/>
      <x:c r="L22" s="39"/>
      <x:c r="M22" s="39"/>
      <x:c r="N22" s="39"/>
    </x:row>
    <x:row r="23">
      <x:c r="A23" s="18" t="str">
        <x:v>Cost item</x:v>
      </x:c>
      <x:c r="B23" s="19" t="str">
        <x:v>Selected cost</x:v>
      </x:c>
      <x:c r="C23" s="20" t="str">
        <x:v>% of total</x:v>
      </x:c>
      <x:c r="I23" s="283" t="str">
        <x:v>1. Fixed-price vendor quote keeps installed cost at or below the approval ceiling.
2. Performance acceptance gate before final vendor payment.
3. Workforce redeployment and hiring-freeze plan signed by HR and Operations.
4. Monthly benefits dashboard with Finance ownership.
5. Stop / redesign if Base NPV falls below zero or a critical control fails.</x:v>
      </x:c>
      <x:c r="J23" s="284"/>
      <x:c r="K23" s="284"/>
      <x:c r="L23" s="284"/>
      <x:c r="M23" s="284"/>
      <x:c r="N23" s="285"/>
    </x:row>
    <x:row r="24">
      <x:c r="A24" s="46" t="str">
        <x:f>'Capex_Schedule'!A6</x:f>
        <x:v>Automation equipment</x:v>
      </x:c>
      <x:c r="B24" s="86" t="n">
        <x:f>'Capex_Schedule'!D6</x:f>
        <x:v>4200000</x:v>
      </x:c>
      <x:c r="C24" s="49" t="n">
        <x:f>B24/'Capex_Schedule'!$D$12</x:f>
        <x:v>0.658307210031348</x:v>
      </x:c>
      <x:c r="I24" s="286"/>
      <x:c r="J24" s="287"/>
      <x:c r="K24" s="287"/>
      <x:c r="L24" s="287"/>
      <x:c r="M24" s="287"/>
      <x:c r="N24" s="288"/>
    </x:row>
    <x:row r="25">
      <x:c r="A25" s="47" t="str">
        <x:f>'Capex_Schedule'!A7</x:f>
        <x:v>Installation &amp; commissioning</x:v>
      </x:c>
      <x:c r="B25" s="87" t="n">
        <x:f>'Capex_Schedule'!D7</x:f>
        <x:v>800000</x:v>
      </x:c>
      <x:c r="C25" s="50" t="n">
        <x:f>B25/'Capex_Schedule'!$D$12</x:f>
        <x:v>0.12539184952978055</x:v>
      </x:c>
      <x:c r="I25" s="286"/>
      <x:c r="J25" s="287"/>
      <x:c r="K25" s="287"/>
      <x:c r="L25" s="287"/>
      <x:c r="M25" s="287"/>
      <x:c r="N25" s="288"/>
    </x:row>
    <x:row r="26">
      <x:c r="A26" s="47" t="str">
        <x:f>'Capex_Schedule'!A8</x:f>
        <x:v>Systems integration</x:v>
      </x:c>
      <x:c r="B26" s="87" t="n">
        <x:f>'Capex_Schedule'!D8</x:f>
        <x:v>450000</x:v>
      </x:c>
      <x:c r="C26" s="50" t="n">
        <x:f>B26/'Capex_Schedule'!$D$12</x:f>
        <x:v>0.07053291536050156</x:v>
      </x:c>
      <x:c r="I26" s="286"/>
      <x:c r="J26" s="287"/>
      <x:c r="K26" s="287"/>
      <x:c r="L26" s="287"/>
      <x:c r="M26" s="287"/>
      <x:c r="N26" s="288"/>
    </x:row>
    <x:row r="27">
      <x:c r="A27" s="47" t="str">
        <x:f>'Capex_Schedule'!A9</x:f>
        <x:v>Facility upgrades</x:v>
      </x:c>
      <x:c r="B27" s="87" t="n">
        <x:f>'Capex_Schedule'!D9</x:f>
        <x:v>350000</x:v>
      </x:c>
      <x:c r="C27" s="50" t="n">
        <x:f>B27/'Capex_Schedule'!$D$12</x:f>
        <x:v>0.054858934169279</x:v>
      </x:c>
      <x:c r="I27" s="286"/>
      <x:c r="J27" s="287"/>
      <x:c r="K27" s="287"/>
      <x:c r="L27" s="287"/>
      <x:c r="M27" s="287"/>
      <x:c r="N27" s="288"/>
    </x:row>
    <x:row r="28">
      <x:c r="A28" s="48" t="str">
        <x:f>'Capex_Schedule'!A10</x:f>
        <x:v>Contingency</x:v>
      </x:c>
      <x:c r="B28" s="88" t="n">
        <x:f>'Capex_Schedule'!D10</x:f>
        <x:v>580000</x:v>
      </x:c>
      <x:c r="C28" s="51" t="n">
        <x:f>B28/'Capex_Schedule'!$D$12</x:f>
        <x:v>0.09090909090909091</x:v>
      </x:c>
      <x:c r="I28" s="286"/>
      <x:c r="J28" s="287"/>
      <x:c r="K28" s="287"/>
      <x:c r="L28" s="287"/>
      <x:c r="M28" s="287"/>
      <x:c r="N28" s="288"/>
    </x:row>
    <x:row r="29">
      <x:c r="I29" s="289"/>
      <x:c r="J29" s="290"/>
      <x:c r="K29" s="290"/>
      <x:c r="L29" s="290"/>
      <x:c r="M29" s="290"/>
      <x:c r="N29" s="291"/>
    </x:row>
    <x:row r="32">
      <x:c r="A32" s="18" t="str">
        <x:v>Year</x:v>
      </x:c>
      <x:c r="B32" s="20" t="str">
        <x:v>Cumulative cash flow</x:v>
      </x:c>
    </x:row>
    <x:row r="33">
      <x:c r="A33" s="26" t="n">
        <x:v>0</x:v>
      </x:c>
      <x:c r="B33" s="86" t="n">
        <x:f>'Cash_Flow'!B16</x:f>
        <x:v>-6630000</x:v>
      </x:c>
    </x:row>
    <x:row r="34">
      <x:c r="A34" s="27" t="n">
        <x:v>1</x:v>
      </x:c>
      <x:c r="B34" s="87" t="n">
        <x:f>'Cash_Flow'!C16</x:f>
        <x:v>-5752715</x:v>
      </x:c>
    </x:row>
    <x:row r="35">
      <x:c r="A35" s="27" t="n">
        <x:v>2</x:v>
      </x:c>
      <x:c r="B35" s="87" t="n">
        <x:f>'Cash_Flow'!D16</x:f>
        <x:v>-4162745.1999999997</x:v>
      </x:c>
    </x:row>
    <x:row r="36">
      <x:c r="A36" s="27" t="n">
        <x:v>3</x:v>
      </x:c>
      <x:c r="B36" s="87" t="n">
        <x:f>'Cash_Flow'!E16</x:f>
        <x:v>-2226765.159999999</x:v>
      </x:c>
    </x:row>
    <x:row r="37">
      <x:c r="A37" s="27" t="n">
        <x:v>4</x:v>
      </x:c>
      <x:c r="B37" s="87" t="n">
        <x:f>'Cash_Flow'!F16</x:f>
        <x:v>-224434.41279999912</x:v>
      </x:c>
    </x:row>
    <x:row r="38">
      <x:c r="A38" s="27" t="n">
        <x:v>5</x:v>
      </x:c>
      <x:c r="B38" s="87" t="n">
        <x:f>'Cash_Flow'!G16</x:f>
        <x:v>1846417.3439360014</x:v>
      </x:c>
    </x:row>
    <x:row r="39">
      <x:c r="A39" s="27" t="n">
        <x:v>6</x:v>
      </x:c>
      <x:c r="B39" s="87" t="n">
        <x:f>'Cash_Flow'!H16</x:f>
        <x:v>3988029.1172364815</x:v>
      </x:c>
    </x:row>
    <x:row r="40">
      <x:c r="A40" s="27" t="n">
        <x:v>7</x:v>
      </x:c>
      <x:c r="B40" s="87" t="n">
        <x:f>'Cash_Flow'!I16</x:f>
        <x:v>6202710.751875624</x:v>
      </x:c>
    </x:row>
    <x:row r="41">
      <x:c r="A41" s="28" t="n">
        <x:v>8</x:v>
      </x:c>
      <x:c r="B41" s="88" t="n">
        <x:f>'Cash_Flow'!J16</x:f>
        <x:v>9061845.128856383</x:v>
      </x:c>
    </x:row>
  </x:sheetData>
  <x:mergeCells>
    <x:mergeCell ref="A1:N2"/>
    <x:mergeCell ref="A3:N3"/>
    <x:mergeCell ref="A5:N5"/>
    <x:mergeCell ref="A7:C7"/>
    <x:mergeCell ref="A8:C10"/>
    <x:mergeCell ref="E7:G7"/>
    <x:mergeCell ref="E8:G10"/>
    <x:mergeCell ref="I7:K7"/>
    <x:mergeCell ref="I8:K10"/>
    <x:mergeCell ref="M7:N7"/>
    <x:mergeCell ref="M8:N10"/>
    <x:mergeCell ref="A13:G13"/>
    <x:mergeCell ref="A14:G19"/>
    <x:mergeCell ref="I13:N13"/>
    <x:mergeCell ref="A22:G22"/>
    <x:mergeCell ref="I22:N22"/>
    <x:mergeCell ref="I23:N29"/>
  </x:mergeCells>
  <x:pageMargins left="0.7" right="0.7" top="0.75" bottom="0.75" header="0.3" footer="0.3"/>
  <x:drawing xmlns:r="http://schemas.openxmlformats.org/officeDocument/2006/relationships" r:id="R9bd0c349e47642df"/>
</x:worksheet>
</file>

<file path=xl/worksheets/sheet11.xml><?xml version="1.0" encoding="utf-8"?>
<x:worksheet xmlns:x="http://schemas.openxmlformats.org/spreadsheetml/2006/main">
  <x:sheetViews>
    <x:sheetView showGridLines="0" workbookViewId="0"/>
  </x:sheetViews>
  <x:sheetFormatPr defaultRowHeight="15"/>
  <x:cols>
    <x:col min="1" max="1" width="28" hidden="0" customWidth="1"/>
    <x:col min="2" max="2" width="17" hidden="0" customWidth="1"/>
    <x:col min="3" max="3" width="17" hidden="0" customWidth="1"/>
    <x:col min="4" max="4" width="17" hidden="0" customWidth="1"/>
    <x:col min="5" max="5" width="17" hidden="0" customWidth="1"/>
    <x:col min="6" max="6" width="12" hidden="0" customWidth="1"/>
    <x:col min="7" max="7" width="19" hidden="0" customWidth="1"/>
    <x:col min="8" max="8" width="36" hidden="0" customWidth="1"/>
  </x:cols>
  <x:sheetData>
    <x:row r="1">
      <x:c r="A1" s="3" t="str">
        <x:v>MODEL CHECKS</x:v>
      </x:c>
      <x:c r="B1" s="3"/>
      <x:c r="C1" s="3"/>
      <x:c r="D1" s="3"/>
      <x:c r="E1" s="3"/>
      <x:c r="F1" s="3"/>
      <x:c r="G1" s="3"/>
      <x:c r="H1" s="3"/>
    </x:row>
    <x:row r="2">
      <x:c r="A2" s="3"/>
      <x:c r="B2" s="3"/>
      <x:c r="C2" s="3"/>
      <x:c r="D2" s="3"/>
      <x:c r="E2" s="3"/>
      <x:c r="F2" s="3"/>
      <x:c r="G2" s="3"/>
      <x:c r="H2" s="3"/>
    </x:row>
    <x:row r="3">
      <x:c r="A3" s="297" t="str">
        <x:f>"MODEL STATUS: "&amp;IF(COUNTIF(F7:F15,"FAIL")=0,"PASS","FAIL")&amp;" | INVESTMENT READINESS: "&amp;F16</x:f>
        <x:v>MODEL STATUS: PASS | INVESTMENT READINESS: OPEN</x:v>
      </x:c>
      <x:c r="B3" s="298"/>
      <x:c r="C3" s="298"/>
      <x:c r="D3" s="298"/>
      <x:c r="E3" s="298"/>
      <x:c r="F3" s="298"/>
      <x:c r="G3" s="298"/>
      <x:c r="H3" s="299"/>
    </x:row>
    <x:row r="6">
      <x:c r="A6" s="18" t="str">
        <x:v>Check</x:v>
      </x:c>
      <x:c r="B6" s="19" t="str">
        <x:v>Actual</x:v>
      </x:c>
      <x:c r="C6" s="19" t="str">
        <x:v>Expected</x:v>
      </x:c>
      <x:c r="D6" s="19" t="str">
        <x:v>Difference</x:v>
      </x:c>
      <x:c r="E6" s="19" t="str">
        <x:v>Tolerance</x:v>
      </x:c>
      <x:c r="F6" s="19" t="str">
        <x:v>Status</x:v>
      </x:c>
      <x:c r="G6" s="19" t="str">
        <x:v>Where to fix</x:v>
      </x:c>
      <x:c r="H6" s="20" t="str">
        <x:v>Notes</x:v>
      </x:c>
    </x:row>
    <x:row r="7">
      <x:c r="A7" s="26" t="str">
        <x:v>Capex schedule ties</x:v>
      </x:c>
      <x:c r="B7" s="80" t="n">
        <x:f>'Capex_Schedule'!D12</x:f>
        <x:v>6380000</x:v>
      </x:c>
      <x:c r="C7" s="80" t="n">
        <x:f>SUM('Capex_Schedule'!D6:D10)</x:f>
        <x:v>6380000</x:v>
      </x:c>
      <x:c r="D7" s="80" t="n">
        <x:f>B7-C7</x:f>
        <x:v>0</x:v>
      </x:c>
      <x:c r="E7" s="80" t="n">
        <x:v>1</x:v>
      </x:c>
      <x:c r="F7" s="26" t="str">
        <x:f>IF(ABS(D7)&lt;=E7,"PASS","FAIL")</x:f>
        <x:v>PASS</x:v>
      </x:c>
      <x:c r="G7" s="26" t="str">
        <x:v>Capex_Schedule</x:v>
      </x:c>
      <x:c r="H7" s="26" t="str">
        <x:v>Total equals cost components</x:v>
      </x:c>
    </x:row>
    <x:row r="8">
      <x:c r="A8" s="27" t="str">
        <x:v>Selected scenario valid</x:v>
      </x:c>
      <x:c r="B8" s="81" t="n">
        <x:f>COUNTIF('Scenarios'!B5:D5,'Assumptions'!B6)</x:f>
        <x:v>1</x:v>
      </x:c>
      <x:c r="C8" s="81" t="n">
        <x:f>1</x:f>
        <x:v>1</x:v>
      </x:c>
      <x:c r="D8" s="81" t="n">
        <x:f>B8-C8</x:f>
        <x:v>0</x:v>
      </x:c>
      <x:c r="E8" s="81" t="n">
        <x:v>0</x:v>
      </x:c>
      <x:c r="F8" s="27" t="str">
        <x:f>IF(ABS(D8)&lt;=E8,"PASS","FAIL")</x:f>
        <x:v>PASS</x:v>
      </x:c>
      <x:c r="G8" s="27" t="str">
        <x:v>Assumptions</x:v>
      </x:c>
      <x:c r="H8" s="27" t="str">
        <x:v>Selector must match one scenario</x:v>
      </x:c>
    </x:row>
    <x:row r="9">
      <x:c r="A9" s="27" t="str">
        <x:v>FCF opening sign</x:v>
      </x:c>
      <x:c r="B9" s="81" t="n">
        <x:f>IF('Cash_Flow'!B13&lt;0,1,0)</x:f>
        <x:v>1</x:v>
      </x:c>
      <x:c r="C9" s="81" t="n">
        <x:f>1</x:f>
        <x:v>1</x:v>
      </x:c>
      <x:c r="D9" s="81" t="n">
        <x:f>B9-C9</x:f>
        <x:v>0</x:v>
      </x:c>
      <x:c r="E9" s="81" t="n">
        <x:v>0</x:v>
      </x:c>
      <x:c r="F9" s="27" t="str">
        <x:f>IF(ABS(D9)&lt;=E9,"PASS","FAIL")</x:f>
        <x:v>PASS</x:v>
      </x:c>
      <x:c r="G9" s="27" t="str">
        <x:v>Cash_Flow</x:v>
      </x:c>
      <x:c r="H9" s="27" t="str">
        <x:v>Initial investment must be negative</x:v>
      </x:c>
    </x:row>
    <x:row r="10">
      <x:c r="A10" s="27" t="str">
        <x:v>NPV ties</x:v>
      </x:c>
      <x:c r="B10" s="81" t="n">
        <x:f>'Returns'!B8</x:f>
        <x:v>2866688.2417097893</x:v>
      </x:c>
      <x:c r="C10" s="81" t="n">
        <x:f>SUM('Cash_Flow'!B15:J15)</x:f>
        <x:v>2866688.2417097883</x:v>
      </x:c>
      <x:c r="D10" s="81" t="n">
        <x:f>B10-C10</x:f>
        <x:v>9.313225746154785e-10</x:v>
      </x:c>
      <x:c r="E10" s="81" t="n">
        <x:v>1</x:v>
      </x:c>
      <x:c r="F10" s="27" t="str">
        <x:f>IF(ABS(D10)&lt;=E10,"PASS","FAIL")</x:f>
        <x:v>PASS</x:v>
      </x:c>
      <x:c r="G10" s="27" t="str">
        <x:v>Returns</x:v>
      </x:c>
      <x:c r="H10" s="27" t="str">
        <x:v>NPV equals total PV cash flow</x:v>
      </x:c>
    </x:row>
    <x:row r="11">
      <x:c r="A11" s="27" t="str">
        <x:v>Sensitivity base ties</x:v>
      </x:c>
      <x:c r="B11" s="81" t="n">
        <x:f>'Sensitivity'!D9</x:f>
        <x:v>2866688.2417097893</x:v>
      </x:c>
      <x:c r="C11" s="81" t="n">
        <x:f>'Returns'!B8</x:f>
        <x:v>2866688.2417097893</x:v>
      </x:c>
      <x:c r="D11" s="81" t="n">
        <x:f>B11-C11</x:f>
        <x:v>0</x:v>
      </x:c>
      <x:c r="E11" s="81" t="n">
        <x:v>2</x:v>
      </x:c>
      <x:c r="F11" s="27" t="str">
        <x:f>IF(ABS(D11)&lt;=E11,"PASS","FAIL")</x:f>
        <x:v>PASS</x:v>
      </x:c>
      <x:c r="G11" s="27" t="str">
        <x:v>Sensitivity</x:v>
      </x:c>
      <x:c r="H11" s="27" t="str">
        <x:v>100% savings / 11% project discount rate equals Base NPV</x:v>
      </x:c>
    </x:row>
    <x:row r="12">
      <x:c r="A12" s="27" t="str">
        <x:v>IRR decision logic</x:v>
      </x:c>
      <x:c r="B12" s="81" t="n">
        <x:f>IF('Returns'!B9&gt;='Assumptions'!B12,1,0)</x:f>
        <x:v>1</x:v>
      </x:c>
      <x:c r="C12" s="81" t="n">
        <x:f>IF('Returns'!B13="APPROVE",1,IF('Returns'!B13="APPROVE WITH CONDITIONS",1,0))</x:f>
        <x:v>1</x:v>
      </x:c>
      <x:c r="D12" s="81" t="n">
        <x:f>B12-C12</x:f>
        <x:v>0</x:v>
      </x:c>
      <x:c r="E12" s="81" t="n">
        <x:v>0</x:v>
      </x:c>
      <x:c r="F12" s="27" t="str">
        <x:f>IF(ABS(D12)&lt;=E12,"PASS","FAIL")</x:f>
        <x:v>PASS</x:v>
      </x:c>
      <x:c r="G12" s="27" t="str">
        <x:v>Returns</x:v>
      </x:c>
      <x:c r="H12" s="27" t="str">
        <x:v>Hurdle result aligns with decision</x:v>
      </x:c>
    </x:row>
    <x:row r="13">
      <x:c r="A13" s="27" t="str">
        <x:v>Approval ceiling</x:v>
      </x:c>
      <x:c r="B13" s="81" t="n">
        <x:f>'Capex_Schedule'!D12</x:f>
        <x:v>6380000</x:v>
      </x:c>
      <x:c r="C13" s="81" t="n">
        <x:f>'Assumptions'!B14</x:f>
        <x:v>7000000</x:v>
      </x:c>
      <x:c r="D13" s="81" t="n">
        <x:f>MAX(0,B13-C13)</x:f>
        <x:v>0</x:v>
      </x:c>
      <x:c r="E13" s="81" t="n">
        <x:v>1</x:v>
      </x:c>
      <x:c r="F13" s="27" t="str">
        <x:f>IF(ABS(D13)&lt;=E13,"PASS","FAIL")</x:f>
        <x:v>PASS</x:v>
      </x:c>
      <x:c r="G13" s="27" t="str">
        <x:v>Capex_Schedule</x:v>
      </x:c>
      <x:c r="H13" s="27" t="str">
        <x:v>Installed cost stays below ceiling</x:v>
      </x:c>
    </x:row>
    <x:row r="14">
      <x:c r="A14" s="27" t="str">
        <x:v>Risk-score formula</x:v>
      </x:c>
      <x:c r="B14" s="81" t="n">
        <x:f>SUM('Risk_Register'!J6:J13)</x:f>
        <x:v>59</x:v>
      </x:c>
      <x:c r="C14" s="81" t="n">
        <x:f>SUMPRODUCT('Risk_Register'!H6:H13,'Risk_Register'!I6:I13)</x:f>
        <x:v>59</x:v>
      </x:c>
      <x:c r="D14" s="81" t="n">
        <x:f>B14-C14</x:f>
        <x:v>0</x:v>
      </x:c>
      <x:c r="E14" s="81" t="n">
        <x:v>0</x:v>
      </x:c>
      <x:c r="F14" s="27" t="str">
        <x:f>IF(ABS(D14)&lt;=E14,"PASS","FAIL")</x:f>
        <x:v>PASS</x:v>
      </x:c>
      <x:c r="G14" s="27" t="str">
        <x:v>Risk_Register</x:v>
      </x:c>
      <x:c r="H14" s="27" t="str">
        <x:v>Residual score is probability × impact</x:v>
      </x:c>
    </x:row>
    <x:row r="15">
      <x:c r="A15" s="28" t="str">
        <x:v>Residual risk improves</x:v>
      </x:c>
      <x:c r="B15" s="82" t="n">
        <x:f>SUM('Risk_Register'!J6:J13)</x:f>
        <x:v>59</x:v>
      </x:c>
      <x:c r="C15" s="82" t="n">
        <x:f>SUM('Risk_Register'!D6:D13)</x:f>
        <x:v>113</x:v>
      </x:c>
      <x:c r="D15" s="82" t="n">
        <x:f>MAX(0,B15-C15)</x:f>
        <x:v>0</x:v>
      </x:c>
      <x:c r="E15" s="82" t="n">
        <x:v>0</x:v>
      </x:c>
      <x:c r="F15" s="28" t="str">
        <x:f>IF(ABS(D15)&lt;=E15,"PASS","FAIL")</x:f>
        <x:v>PASS</x:v>
      </x:c>
      <x:c r="G15" s="28" t="str">
        <x:v>Risk_Register</x:v>
      </x:c>
      <x:c r="H15" s="28" t="str">
        <x:v>Residual score should not exceed inherent</x:v>
      </x:c>
    </x:row>
    <x:row r="16">
      <x:c r="A16" t="str">
        <x:v>Investment readiness gates</x:v>
      </x:c>
      <x:c r="B16" t="n">
        <x:f>COUNTIF('Capex_Schedule'!D16:D18,"PASS")</x:f>
        <x:v>2</x:v>
      </x:c>
      <x:c r="C16" t="n">
        <x:v>3</x:v>
      </x:c>
      <x:c r="D16" t="n">
        <x:f>B16-C16</x:f>
        <x:v>-1</x:v>
      </x:c>
      <x:c r="E16" t="n">
        <x:v>0</x:v>
      </x:c>
      <x:c r="F16" t="str">
        <x:f>IF(B16=C16,"READY","OPEN")</x:f>
        <x:v>OPEN</x:v>
      </x:c>
      <x:c r="G16" t="str">
        <x:v>Capex_Schedule</x:v>
      </x:c>
      <x:c r="H16" t="str">
        <x:v>Commercial quote and implementation gates must pass before unconditional approval</x:v>
      </x:c>
    </x:row>
  </x:sheetData>
  <x:mergeCells>
    <x:mergeCell ref="A1:H2"/>
    <x:mergeCell ref="A3:H3"/>
  </x:mergeCells>
  <x:conditionalFormatting sqref="F7:F15">
    <x:cfRule type="containsText" dxfId="0" priority="1" operator="containsText" text="PASS"/>
    <x:cfRule type="containsText" dxfId="1" priority="2" operator="containsText" text="FAIL"/>
  </x:conditionalFormatting>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3" hidden="0" customWidth="1"/>
    <x:col min="2" max="2" width="24" hidden="0" customWidth="1"/>
    <x:col min="3" max="3" width="16" hidden="0" customWidth="1"/>
    <x:col min="4" max="4" width="18" hidden="0" customWidth="1"/>
    <x:col min="5" max="5" width="20" hidden="0" customWidth="1"/>
    <x:col min="6" max="6" width="27" hidden="0" customWidth="1"/>
    <x:col min="7" max="7" width="18" hidden="0" customWidth="1"/>
    <x:col min="8" max="8" width="42" hidden="0" customWidth="1"/>
    <x:col min="9" max="9" width="15" hidden="0" customWidth="1"/>
  </x:cols>
  <x:sheetData>
    <x:row r="1">
      <x:c r="A1" s="3" t="str">
        <x:v>SOURCES, DATA POLICY &amp; VERSION LOG</x:v>
      </x:c>
      <x:c r="B1" s="3"/>
      <x:c r="C1" s="3"/>
      <x:c r="D1" s="3"/>
      <x:c r="E1" s="3"/>
      <x:c r="F1" s="3"/>
      <x:c r="G1" s="3"/>
      <x:c r="H1" s="3"/>
      <x:c r="I1" s="3"/>
    </x:row>
    <x:row r="2">
      <x:c r="A2" s="3"/>
      <x:c r="B2" s="3"/>
      <x:c r="C2" s="3"/>
      <x:c r="D2" s="3"/>
      <x:c r="E2" s="3"/>
      <x:c r="F2" s="3"/>
      <x:c r="G2" s="3"/>
      <x:c r="H2" s="3"/>
      <x:c r="I2" s="3"/>
    </x:row>
    <x:row r="3">
      <x:c r="A3" s="6" t="str">
        <x:v>All figures are synthetic and independently created for portfolio demonstration</x:v>
      </x:c>
      <x:c r="B3" s="6"/>
      <x:c r="C3" s="6"/>
      <x:c r="D3" s="6"/>
      <x:c r="E3" s="6"/>
      <x:c r="F3" s="6"/>
      <x:c r="G3" s="6"/>
      <x:c r="H3" s="6"/>
      <x:c r="I3" s="6"/>
    </x:row>
    <x:row r="5">
      <x:c r="A5" s="18" t="str">
        <x:v>Item</x:v>
      </x:c>
      <x:c r="B5" s="19" t="str">
        <x:v>Value</x:v>
      </x:c>
      <x:c r="C5" s="19" t="str">
        <x:v>Units</x:v>
      </x:c>
      <x:c r="D5" s="19" t="str">
        <x:v>Period / as-of</x:v>
      </x:c>
      <x:c r="E5" s="19" t="str">
        <x:v>Source type</x:v>
      </x:c>
      <x:c r="F5" s="19" t="str">
        <x:v>Source name / URL</x:v>
      </x:c>
      <x:c r="G5" s="19" t="str">
        <x:v>Owner</x:v>
      </x:c>
      <x:c r="H5" s="19" t="str">
        <x:v>Notes</x:v>
      </x:c>
      <x:c r="I5" s="20" t="str">
        <x:v>Refreshed</x:v>
      </x:c>
    </x:row>
    <x:row r="6">
      <x:c r="A6" s="300" t="str">
        <x:v>Company</x:v>
      </x:c>
      <x:c r="B6" s="300" t="str">
        <x:v>Orion Fulfillment</x:v>
      </x:c>
      <x:c r="C6" s="300" t="str">
        <x:v>Text</x:v>
      </x:c>
      <x:c r="D6" s="300" t="str">
        <x:v>2026-08-23</x:v>
      </x:c>
      <x:c r="E6" s="300" t="str">
        <x:v>Synthetic</x:v>
      </x:c>
      <x:c r="F6" s="300" t="str">
        <x:v>Portfolio-generated case</x:v>
      </x:c>
      <x:c r="G6" s="300" t="str">
        <x:v>Nguyen Tuan Khoi</x:v>
      </x:c>
      <x:c r="H6" s="300" t="str">
        <x:v>Fictional company; no employer or client data</x:v>
      </x:c>
      <x:c r="I6" s="300" t="str">
        <x:v>2026-08-23</x:v>
      </x:c>
    </x:row>
    <x:row r="7">
      <x:c r="A7" s="301" t="str">
        <x:v>Installed cost</x:v>
      </x:c>
      <x:c r="B7" s="301" t="str">
        <x:v>$5.8m before contingency</x:v>
      </x:c>
      <x:c r="C7" s="301" t="str">
        <x:v>USD</x:v>
      </x:c>
      <x:c r="D7" s="301" t="str">
        <x:v>Decision date</x:v>
      </x:c>
      <x:c r="E7" s="301" t="str">
        <x:v>Synthetic assumption</x:v>
      </x:c>
      <x:c r="F7" s="301" t="str">
        <x:v>Assumptions</x:v>
      </x:c>
      <x:c r="G7" s="301" t="str">
        <x:v>Finance</x:v>
      </x:c>
      <x:c r="H7" s="301" t="str">
        <x:v>Illustrative equipment and implementation scope</x:v>
      </x:c>
      <x:c r="I7" s="301" t="str">
        <x:v>2026-08-23</x:v>
      </x:c>
    </x:row>
    <x:row r="8">
      <x:c r="A8" s="301" t="str">
        <x:v>Order volume</x:v>
      </x:c>
      <x:c r="B8" s="301" t="str">
        <x:v>2.4m</x:v>
      </x:c>
      <x:c r="C8" s="301" t="str">
        <x:v>Orders / year</x:v>
      </x:c>
      <x:c r="D8" s="301" t="str">
        <x:v>Year 1</x:v>
      </x:c>
      <x:c r="E8" s="301" t="str">
        <x:v>Synthetic assumption</x:v>
      </x:c>
      <x:c r="F8" s="301" t="str">
        <x:v>Assumptions</x:v>
      </x:c>
      <x:c r="G8" s="301" t="str">
        <x:v>Operations</x:v>
      </x:c>
      <x:c r="H8" s="301" t="str">
        <x:v>Illustrative distribution volume</x:v>
      </x:c>
      <x:c r="I8" s="301" t="str">
        <x:v>2026-08-23</x:v>
      </x:c>
    </x:row>
    <x:row r="9">
      <x:c r="A9" s="301" t="str">
        <x:v>Unit savings</x:v>
      </x:c>
      <x:c r="B9" s="301" t="str">
        <x:v>$1.38</x:v>
      </x:c>
      <x:c r="C9" s="301" t="str">
        <x:v>USD / order</x:v>
      </x:c>
      <x:c r="D9" s="301" t="str">
        <x:v>Steady state</x:v>
      </x:c>
      <x:c r="E9" s="301" t="str">
        <x:v>Synthetic assumption</x:v>
      </x:c>
      <x:c r="F9" s="301" t="str">
        <x:v>Assumptions</x:v>
      </x:c>
      <x:c r="G9" s="301" t="str">
        <x:v>Operations / Finance</x:v>
      </x:c>
      <x:c r="H9" s="301" t="str">
        <x:v>Labor plus quality savings</x:v>
      </x:c>
      <x:c r="I9" s="301" t="str">
        <x:v>2026-08-23</x:v>
      </x:c>
    </x:row>
    <x:row r="10">
      <x:c r="A10" s="301" t="str">
        <x:v>Tax rate</x:v>
      </x:c>
      <x:c r="B10" s="301" t="str">
        <x:v>20%</x:v>
      </x:c>
      <x:c r="C10" s="301" t="str">
        <x:v>Percent</x:v>
      </x:c>
      <x:c r="D10" s="301" t="str">
        <x:v>Forecast</x:v>
      </x:c>
      <x:c r="E10" s="301" t="str">
        <x:v>Synthetic assumption</x:v>
      </x:c>
      <x:c r="F10" s="301" t="str">
        <x:v>Assumptions</x:v>
      </x:c>
      <x:c r="G10" s="301" t="str">
        <x:v>Tax</x:v>
      </x:c>
      <x:c r="H10" s="301" t="str">
        <x:v>Illustrative planning rate</x:v>
      </x:c>
      <x:c r="I10" s="301" t="str">
        <x:v>2026-08-23</x:v>
      </x:c>
    </x:row>
    <x:row r="11">
      <x:c r="A11" s="301" t="str">
        <x:v>Discount rate</x:v>
      </x:c>
      <x:c r="B11" s="301" t="str">
        <x:v>11%</x:v>
      </x:c>
      <x:c r="C11" s="301" t="str">
        <x:v>Percent</x:v>
      </x:c>
      <x:c r="D11" s="301" t="str">
        <x:v>Decision date</x:v>
      </x:c>
      <x:c r="E11" s="301" t="str">
        <x:v>Synthetic assumption</x:v>
      </x:c>
      <x:c r="F11" s="301" t="str">
        <x:v>Assumptions</x:v>
      </x:c>
      <x:c r="G11" s="301" t="str">
        <x:v>Finance</x:v>
      </x:c>
      <x:c r="H11" s="301" t="str">
        <x:v>Illustrative hurdle for decision testing</x:v>
      </x:c>
      <x:c r="I11" s="301" t="str">
        <x:v>2026-08-23</x:v>
      </x:c>
    </x:row>
    <x:row r="12">
      <x:c r="A12" s="301" t="str">
        <x:v>External data</x:v>
      </x:c>
      <x:c r="B12" s="301" t="str">
        <x:v>None</x:v>
      </x:c>
      <x:c r="C12" s="301" t="str">
        <x:v>N/A</x:v>
      </x:c>
      <x:c r="D12" s="301" t="str">
        <x:v>N/A</x:v>
      </x:c>
      <x:c r="E12" s="301" t="str">
        <x:v>N/A</x:v>
      </x:c>
      <x:c r="F12" s="301" t="str">
        <x:v>N/A</x:v>
      </x:c>
      <x:c r="G12" s="301" t="str">
        <x:v>N/A</x:v>
      </x:c>
      <x:c r="H12" s="301" t="str">
        <x:v>No confidential, proprietary, or CFI course data</x:v>
      </x:c>
      <x:c r="I12" s="301" t="str">
        <x:v>2026-08-23</x:v>
      </x:c>
    </x:row>
    <x:row r="13">
      <x:c r="A13" s="302" t="str">
        <x:v>Model purpose</x:v>
      </x:c>
      <x:c r="B13" s="302" t="str">
        <x:v>Capital-allocation decision support</x:v>
      </x:c>
      <x:c r="C13" s="302" t="str">
        <x:v>Text</x:v>
      </x:c>
      <x:c r="D13" s="302" t="str">
        <x:v>8 years</x:v>
      </x:c>
      <x:c r="E13" s="302" t="str">
        <x:v>Portfolio case</x:v>
      </x:c>
      <x:c r="F13" s="302" t="str">
        <x:v>Internal model design</x:v>
      </x:c>
      <x:c r="G13" s="302" t="str">
        <x:v>FP&amp;A</x:v>
      </x:c>
      <x:c r="H13" s="302" t="str">
        <x:v>Not a procurement approval or investment recommendation</x:v>
      </x:c>
      <x:c r="I13" s="302" t="str">
        <x:v>2026-08-23</x:v>
      </x:c>
    </x:row>
    <x:row r="16">
      <x:c r="A16" s="39" t="str">
        <x:v>VERSION LOG</x:v>
      </x:c>
      <x:c r="B16" s="39"/>
      <x:c r="C16" s="39"/>
      <x:c r="D16" s="39"/>
    </x:row>
    <x:row r="17">
      <x:c r="A17" s="18" t="str">
        <x:v>Version</x:v>
      </x:c>
      <x:c r="B17" s="19" t="str">
        <x:v>Date</x:v>
      </x:c>
      <x:c r="C17" s="19" t="str">
        <x:v>Change</x:v>
      </x:c>
      <x:c r="D17" s="20" t="str">
        <x:v>Status</x:v>
      </x:c>
    </x:row>
    <x:row r="18" ht="28" customHeight="1">
      <x:c r="A18" s="300" t="str">
        <x:v>1.0</x:v>
      </x:c>
      <x:c r="B18" s="300" t="str">
        <x:v>2026-08-23</x:v>
      </x:c>
      <x:c r="C18" s="300" t="str">
        <x:v>Initial CAPEX and IC model</x:v>
      </x:c>
      <x:c r="D18" s="300" t="str">
        <x:v>Published</x:v>
      </x:c>
    </x:row>
    <x:row r="19" ht="28" customHeight="1">
      <x:c r="A19" s="302" t="str">
        <x:v>Next</x:v>
      </x:c>
      <x:c r="B19" s="302" t="str">
        <x:v>TBD</x:v>
      </x:c>
      <x:c r="C19" s="302" t="str">
        <x:v>Replace synthetic assumptions</x:v>
      </x:c>
      <x:c r="D19" s="302" t="str">
        <x:v>Planned</x:v>
      </x:c>
    </x:row>
  </x:sheetData>
  <x:mergeCells>
    <x:mergeCell ref="A1:I2"/>
    <x:mergeCell ref="A3:I3"/>
    <x:mergeCell ref="A16:D16"/>
  </x:mergeCells>
  <x:pageMargins left="0.7" right="0.7" top="0.75" bottom="0.75" header="0.3" footer="0.3"/>
</x:worksheet>
</file>